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CAGR_Matrix_FULL" sheetId="2" r:id="rId6"/>
    <sheet state="visible" name="Betas_Shrunk_FULL" sheetId="3" r:id="rId7"/>
    <sheet state="visible" name="Scenario_Deltas_FULL" sheetId="4" r:id="rId8"/>
    <sheet state="visible" name="Scenario_Factor_Premia_pct" sheetId="5" r:id="rId9"/>
    <sheet state="visible" name="Scenarios" sheetId="6" r:id="rId10"/>
    <sheet state="visible" name="Added_Ticker_Audit" sheetId="7" r:id="rId11"/>
    <sheet state="visible" name="Coverage_Audit" sheetId="8" r:id="rId12"/>
    <sheet state="visible" name="Reconstruction_Check" sheetId="9" r:id="rId13"/>
  </sheets>
  <definedNames/>
  <calcPr/>
</workbook>
</file>

<file path=xl/sharedStrings.xml><?xml version="1.0" encoding="utf-8"?>
<sst xmlns="http://schemas.openxmlformats.org/spreadsheetml/2006/main" count="987" uniqueCount="340">
  <si>
    <t>KEEP — Scenario CAGR Matrix, 2026Q2 AUGMENTED (canonical, 73 rows)</t>
  </si>
  <si>
    <t>CANONICAL single-file build off the ratified SOURCE_UPDATE bundle. Supersedes and replaces: the interim 46-row</t>
  </si>
  <si>
    <t>AUGMENTED xlsx, KEEP_Scenario_CAGR_Matrix_2026Q2_AUGMENTED.pdf (394KB stale render), and the 3 interim CSVs</t>
  </si>
  <si>
    <t>(Scenario_CAGR_Matrix_FULL_2026Q2.csv, New_Tickers_CAGR_and_Betas_2026Q2.csv, New_Tickers_Betas_Deltas_2026Q2.csv).</t>
  </si>
  <si>
    <t>COVERAGE: 73 ticker rows x 20 scenarios. Provenance in Source column:</t>
  </si>
  <si>
    <t xml:space="preserve">   house_2026Q1 (34)            - original house rows.            [unshaded]</t>
  </si>
  <si>
    <t xml:space="preserve">   fitted_2026Q2 (12)           - first augmentation pass.        [orange]</t>
  </si>
  <si>
    <t xml:space="preserve">   fitted_2026Q2_source_update  - SOURCE_UPDATE additions.        [blue]</t>
  </si>
  <si>
    <t xml:space="preserve">   New names vs interim: JQUA, SMH, AVUS, HACK, ITA, PPA, MSCI, NDAQ, GD, LMT, NOC, RTX, URNM, XLV, CEG, EUAD,</t>
  </si>
  <si>
    <t xml:space="preserve">   IBKR, GLD, plus market benchmarks (VOO/VTI/VT/VTSAX/IXUS/IEF) and proxy rows.</t>
  </si>
  <si>
    <t>CONSTRUCTION (per cell): CAGR%[t,s] = RF%[s] + SUMPRODUCT(beta[t,:],premia%[s,:]) + 12*alpha_m_shrunk%[t] + delta%[t,s]</t>
  </si>
  <si>
    <t xml:space="preserve">   beta,alpha = FF5+Mom OLS on monthly excess returns, shrunk by w=n/(n+60). Single stocks matched-120mo; ETFs full</t>
  </si>
  <si>
    <t xml:space="preserve">   history. Sheets Betas_Shrunk_FULL + Scenario_Factor_Premia_pct + Scenario_Deltas_FULL reconstruct every fitted cell.</t>
  </si>
  <si>
    <t xml:space="preserve">   Reconstruction audit over all formula-fitted rows: median max|diff| = 0.005 pt, worst = 0.006 pt.</t>
  </si>
  <si>
    <t xml:space="preserve">   Reconstruction_Check shows 3 live cross-sheet formulas (one per provenance class) reproducing stored values.</t>
  </si>
  <si>
    <t xml:space="preserve">   Proxy rows (ProxyBase set in Added_Ticker_Audit; e.g. *_proxy) are assigned from a base ticker, NOT formula-fitted,</t>
  </si>
  <si>
    <t xml:space="preserve">   so they are carried verbatim and not expected to reconstruct from betas.</t>
  </si>
  <si>
    <t>AUDIT SHEETS: Added_Ticker_Audit (27-row add log: method/r2/shrink/CAGR/worst/note); Coverage_Audit (71 portfolios,</t>
  </si>
  <si>
    <t xml:space="preserve">   covered-weight before/after). Values carried verbatim from the ratified bundle - not recomputed.</t>
  </si>
  <si>
    <t>OPEN ITEMS (store hygiene, tracked separately):</t>
  </si>
  <si>
    <t xml:space="preserve">   1. BRKB.csv present in project but unregistered in manifest.csv - add the row (do not delete the data).</t>
  </si>
  <si>
    <t xml:space="preserve">   2. Scenario-taxonomy split: scoring deck = "Base Case/Stagflation..." (this matrix); a separate thematic deck</t>
  </si>
  <si>
    <t xml:space="preserve">      ("AI compute boom...") lives in Scenarios_Current + embedded in the DRB40 json. 0 name overlap. Reconcile.</t>
  </si>
  <si>
    <t>LOAD: pd.read_excel("KEEP_Scenario_CAGR_Matrix_2026Q2_AUGMENTED.xlsx","CAGR_Matrix_FULL").set_index("Ticker")</t>
  </si>
  <si>
    <t>UNITS: CAGR, premia, deltas, alpha_m_shrunk in PERCENT; betas dimensionless. Generated 2026-06-28.</t>
  </si>
  <si>
    <t>Ticker</t>
  </si>
  <si>
    <t>Base Case – Managed Re-industrialization</t>
  </si>
  <si>
    <t>Reflation / Industrial Up-Cycle</t>
  </si>
  <si>
    <t>Stagflation / Fiscal Dominance</t>
  </si>
  <si>
    <t>Debt Overhang – Financial Repression</t>
  </si>
  <si>
    <t>Credit Stress – Shadow/Private Credit Accident</t>
  </si>
  <si>
    <t>AI Breakout – Productivity Boom / Concentration</t>
  </si>
  <si>
    <t>AI Breakout – Energy/Infrastructure Bottleneck</t>
  </si>
  <si>
    <t>Geopolitical Fragmentation – Trade/Tech Bifurcation</t>
  </si>
  <si>
    <t>Geopolitical Fragmentation – Cyber Systemic Event</t>
  </si>
  <si>
    <t>Cronyism / Policy Distortion</t>
  </si>
  <si>
    <t>China Hard Landing</t>
  </si>
  <si>
    <t>Taiwan Hostilities / Kinetic Shock</t>
  </si>
  <si>
    <t>Credit Accident (U.S. Regional)</t>
  </si>
  <si>
    <t>Space Race / Tech-Industrial Rivalry</t>
  </si>
  <si>
    <t>Pandemic / Bio Disruption</t>
  </si>
  <si>
    <t>Climate Transition Stress – Policy/Stranding Shock</t>
  </si>
  <si>
    <t>Climate Stress – Physical/Insurance Retreat</t>
  </si>
  <si>
    <t>Energy Shock / Supply Constraint</t>
  </si>
  <si>
    <t>Political Polarization / Governance Shock</t>
  </si>
  <si>
    <t>Liquidity: JGB + US Fiscal Dominance</t>
  </si>
  <si>
    <t>Source</t>
  </si>
  <si>
    <t>AIRR</t>
  </si>
  <si>
    <t>house_2026Q1</t>
  </si>
  <si>
    <t>AVDE</t>
  </si>
  <si>
    <t>AVUV</t>
  </si>
  <si>
    <t>BOTZ</t>
  </si>
  <si>
    <t>CIBR</t>
  </si>
  <si>
    <t>COWZ</t>
  </si>
  <si>
    <t>DFAS</t>
  </si>
  <si>
    <t>GRID</t>
  </si>
  <si>
    <t>IHI</t>
  </si>
  <si>
    <t>KOMP</t>
  </si>
  <si>
    <t>MOAT</t>
  </si>
  <si>
    <t>NLR</t>
  </si>
  <si>
    <t>NUKZ</t>
  </si>
  <si>
    <t>PAVE</t>
  </si>
  <si>
    <t>PRNT</t>
  </si>
  <si>
    <t>QQEW</t>
  </si>
  <si>
    <t>QUAL</t>
  </si>
  <si>
    <t>ROBO</t>
  </si>
  <si>
    <t>ROKT</t>
  </si>
  <si>
    <t>SCHD</t>
  </si>
  <si>
    <t>SETM</t>
  </si>
  <si>
    <t>SHLD</t>
  </si>
  <si>
    <t>SOXX</t>
  </si>
  <si>
    <t>SPLV</t>
  </si>
  <si>
    <t>USMV</t>
  </si>
  <si>
    <t>VALQ</t>
  </si>
  <si>
    <t>VFQY</t>
  </si>
  <si>
    <t>XAR</t>
  </si>
  <si>
    <t>XBI</t>
  </si>
  <si>
    <t>XLE</t>
  </si>
  <si>
    <t>XSD</t>
  </si>
  <si>
    <t>XT</t>
  </si>
  <si>
    <t>CTA</t>
  </si>
  <si>
    <t>CTA_OVERLAY</t>
  </si>
  <si>
    <t>CME</t>
  </si>
  <si>
    <t>fitted_2026Q2</t>
  </si>
  <si>
    <t>CBOE</t>
  </si>
  <si>
    <t>ICE</t>
  </si>
  <si>
    <t>SPGI</t>
  </si>
  <si>
    <t>KMLM</t>
  </si>
  <si>
    <t>DBMF</t>
  </si>
  <si>
    <t>AVDV</t>
  </si>
  <si>
    <t>AVES</t>
  </si>
  <si>
    <t>IHAK</t>
  </si>
  <si>
    <t>QTUM</t>
  </si>
  <si>
    <t>GLDM</t>
  </si>
  <si>
    <t>IVV</t>
  </si>
  <si>
    <t>AVUS</t>
  </si>
  <si>
    <t>fitted_2026Q2_source_update</t>
  </si>
  <si>
    <t>CEG</t>
  </si>
  <si>
    <t>EUAD</t>
  </si>
  <si>
    <t>proxy_2026Q2_source_update</t>
  </si>
  <si>
    <t>GD</t>
  </si>
  <si>
    <t>GLD</t>
  </si>
  <si>
    <t>HACK</t>
  </si>
  <si>
    <t>IBKR</t>
  </si>
  <si>
    <t>IEF</t>
  </si>
  <si>
    <t>IEF/aggregate-bond proxy</t>
  </si>
  <si>
    <t>ITA</t>
  </si>
  <si>
    <t>IXUS</t>
  </si>
  <si>
    <t>JQUA</t>
  </si>
  <si>
    <t>LMT</t>
  </si>
  <si>
    <t>MSCI</t>
  </si>
  <si>
    <t>NDAQ</t>
  </si>
  <si>
    <t>NOC</t>
  </si>
  <si>
    <t>PPA</t>
  </si>
  <si>
    <t>PSCI</t>
  </si>
  <si>
    <t>RTX</t>
  </si>
  <si>
    <t>SMH</t>
  </si>
  <si>
    <t>URNM</t>
  </si>
  <si>
    <t>VOO</t>
  </si>
  <si>
    <t>VT</t>
  </si>
  <si>
    <t>VTI</t>
  </si>
  <si>
    <t>VTSAX</t>
  </si>
  <si>
    <t>XLV</t>
  </si>
  <si>
    <t>ZTS_proxy</t>
  </si>
  <si>
    <t>n</t>
  </si>
  <si>
    <t>r2</t>
  </si>
  <si>
    <t>shrink_w</t>
  </si>
  <si>
    <t>alpha_m_shrunk</t>
  </si>
  <si>
    <t>Mkt-RF</t>
  </si>
  <si>
    <t>SMB</t>
  </si>
  <si>
    <t>HML</t>
  </si>
  <si>
    <t>RMW</t>
  </si>
  <si>
    <t>CMA</t>
  </si>
  <si>
    <t>Mom</t>
  </si>
  <si>
    <t>Scenario</t>
  </si>
  <si>
    <t>RF</t>
  </si>
  <si>
    <t>Weight_%</t>
  </si>
  <si>
    <t>Weight_Normalized</t>
  </si>
  <si>
    <t>Severity_1to5</t>
  </si>
  <si>
    <t>Canonical_Parent</t>
  </si>
  <si>
    <t>Notes_Merged</t>
  </si>
  <si>
    <t>Weight_Normalized_%</t>
  </si>
  <si>
    <t>Core trajectory strengthened by fiscal &amp; industrial policy; capex/reshoring.</t>
  </si>
  <si>
    <t>Broad-based capex &amp; reshoring tailwind; inflation contained.</t>
  </si>
  <si>
    <t>Structural deficits + supply frictions persist; growth disappoints.</t>
  </si>
  <si>
    <t>Debt Overhang / Credit Stress</t>
  </si>
  <si>
    <t>Inflate/grow away debt; negative real rates; stealth taxes/regulation.</t>
  </si>
  <si>
    <t>Liquidity mismatch in private credit/shadow leverage triggers forced selling.</t>
  </si>
  <si>
    <t>AI Breakout / Tech Concentration</t>
  </si>
  <si>
    <t>Measured productivity inflects; equity leadership narrows; capex wave.</t>
  </si>
  <si>
    <t>Grid/transformers/power pricing constrain deployment; winners shift toward energy/infrastructure.</t>
  </si>
  <si>
    <t>Geopolitical Fragmentation (Multipolar)</t>
  </si>
  <si>
    <t>Export controls, tariffs, friend-shoring; supply chains regionalize; cost of capital rises.</t>
  </si>
  <si>
    <t>Payments/cloud/market plumbing disruption; risk premium spike; regulatory clampdown.</t>
  </si>
  <si>
    <t>Policy captured; capital misallocated; productivity drag; episodic sector booms/busts.</t>
  </si>
  <si>
    <t>Property/banking stress and weak demand transmit disinflation + commodity swings.</t>
  </si>
  <si>
    <t>Semiconductor + shipping shock; rationing/controls; global recession risk.</t>
  </si>
  <si>
    <t>Regional banking/CRE/credit event; policy backstop but equity risk-off.</t>
  </si>
  <si>
    <t>Dual-use spending accelerates; industrial/defense/space capex cycle.</t>
  </si>
  <si>
    <t>Supply/labor shock; emergency policy; sector rotation violent.</t>
  </si>
  <si>
    <t>Climate Transition Stress</t>
  </si>
  <si>
    <t>Rapid regulation/carbon border shifts; stranded assets; capex reallocation.</t>
  </si>
  <si>
    <t>Repeated disasters → insurance withdrawal; real estate/muni repricing.</t>
  </si>
  <si>
    <t>Supply disruption or underinvestment → sustained price spikes; inflation + recession risk.</t>
  </si>
  <si>
    <t>Policy whiplash; institutional stress; unstable fiscal/regulatory regime.</t>
  </si>
  <si>
    <t>Compound liquidity shock from Japan yield repricing + US term premium/auction stress.</t>
  </si>
  <si>
    <t>Action</t>
  </si>
  <si>
    <t>Method</t>
  </si>
  <si>
    <t>PriceFit</t>
  </si>
  <si>
    <t>ProxyBase</t>
  </si>
  <si>
    <t>WeightedMeanCAGR_pct</t>
  </si>
  <si>
    <t>WorstCAGR_pct</t>
  </si>
  <si>
    <t>Note</t>
  </si>
  <si>
    <t>added_fit</t>
  </si>
  <si>
    <t>n=91; r2=0.945; shrink=0.603</t>
  </si>
  <si>
    <t>Avantis/quality sleeve; QUAL-style scenario deltas.</t>
  </si>
  <si>
    <t>n=300; r2=0.682; shrink=0.833</t>
  </si>
  <si>
    <t>Semiconductor sleeve; SOXX-style scenario deltas.</t>
  </si>
  <si>
    <t>n=69; r2=0.995; shrink=0.535</t>
  </si>
  <si>
    <t>Broad US Avantis core; factor-only zero discretionary deltas.</t>
  </si>
  <si>
    <t>n=127; r2=0.689; shrink=0.679</t>
  </si>
  <si>
    <t>Cybersecurity; IHAK-style scenario deltas.</t>
  </si>
  <si>
    <t>n=229; r2=0.703; shrink=0.792</t>
  </si>
  <si>
    <t>Aerospace/defense ETF; XAR/ROKT blended defense deltas.</t>
  </si>
  <si>
    <t>n=236; r2=0.742; shrink=0.797</t>
  </si>
  <si>
    <t>n=152; r2=0.730; shrink=0.717</t>
  </si>
  <si>
    <t>Broad ex-US equity; AVDE-style developed-intl deltas.</t>
  </si>
  <si>
    <t>n=120; r2=0.528; shrink=0.667</t>
  </si>
  <si>
    <t>Index/data tollbooth; 120m single-stock fit; scaled SPGI-style deltas.</t>
  </si>
  <si>
    <t>n=120; r2=0.464; shrink=0.667</t>
  </si>
  <si>
    <t>Exchange/data; 120m single-stock fit; ICE-style exchange deltas.</t>
  </si>
  <si>
    <t>n=120; r2=0.244; shrink=0.667</t>
  </si>
  <si>
    <t>Prime defense contractor; 120m fit; defense deltas.</t>
  </si>
  <si>
    <t>n=120; r2=0.295; shrink=0.667</t>
  </si>
  <si>
    <t>n=120; r2=0.388; shrink=0.667</t>
  </si>
  <si>
    <t>n=120; r2=0.454; shrink=0.667</t>
  </si>
  <si>
    <t>Defense/aerospace contractor; 120m fit; defense deltas.</t>
  </si>
  <si>
    <t>n=275; r2=0.070; shrink=0.821</t>
  </si>
  <si>
    <t>Treasury duration ballast; factor fit plus disclosed bond-stress deltas.</t>
  </si>
  <si>
    <t>n=66; r2=0.287; shrink=0.524</t>
  </si>
  <si>
    <t>Uranium/nuclear miner sleeve; NUKZ/NLR blended deltas.</t>
  </si>
  <si>
    <t>n=41; r2=0.355; shrink=0.406</t>
  </si>
  <si>
    <t>Nuclear/power single name; available-history fit; nuclear/power deltas.</t>
  </si>
  <si>
    <t>n=318; r2=0.605; shrink=0.841</t>
  </si>
  <si>
    <t>Healthcare sector benchmark; factor-only zero discretionary deltas.</t>
  </si>
  <si>
    <t>added_proxy</t>
  </si>
  <si>
    <t>proxy blend</t>
  </si>
  <si>
    <t>0.6*XAR;0.4*ROKT</t>
  </si>
  <si>
    <t>EUAD had too little usable local history in bundle; Europe aerospace/defense represented by XAR/ROKT blended defense proxy.</t>
  </si>
  <si>
    <t>1*IVV</t>
  </si>
  <si>
    <t>VOO treated as IVV/S&amp;P 500 benchmark equivalent; use actual VOO price later if desired.</t>
  </si>
  <si>
    <t>1*GLDM</t>
  </si>
  <si>
    <t>GLD treated as GLDM scenario-equivalent; apply higher ER separately in portfolio engine.</t>
  </si>
  <si>
    <t>1*IEF</t>
  </si>
  <si>
    <t>Exact alias for weights_matrix_all_ports legacy label.</t>
  </si>
  <si>
    <t>0.8*IVV;0.2*AVUS</t>
  </si>
  <si>
    <t>Broad US market proxy: 80% IVV + 20% AVUS.</t>
  </si>
  <si>
    <t>1*VTI</t>
  </si>
  <si>
    <t>VTSAX treated as VTI total-US proxy.</t>
  </si>
  <si>
    <t>0.55*VTI;0.45*IXUS</t>
  </si>
  <si>
    <t>Global equity proxy: 55% US total market + 45% ex-US.</t>
  </si>
  <si>
    <t>0.5*AIRR;0.3*XAR;0.2*PAVE</t>
  </si>
  <si>
    <t>Small-cap industrial proxy: AIRR/XAR/PAVE blend; no local PSCI price in bundle.</t>
  </si>
  <si>
    <t>0.5*NDAQ;0.3*CBOE;0.2*ICE</t>
  </si>
  <si>
    <t>Brokerage/market-structure proxy; no local IBKR price in bundle, so use exchange/data blend.</t>
  </si>
  <si>
    <t>0.6*XLV;0.4*JQUA</t>
  </si>
  <si>
    <t>ZTS rough animal-health quality/healthcare proxy; label kept explicit, not a true ticker row.</t>
  </si>
  <si>
    <t>Portfolio</t>
  </si>
  <si>
    <t>Family</t>
  </si>
  <si>
    <t>TickerCount</t>
  </si>
  <si>
    <t>WeightTotal_pct</t>
  </si>
  <si>
    <t>CoveredWeight_Before</t>
  </si>
  <si>
    <t>MissingBefore</t>
  </si>
  <si>
    <t>CoveredWeight_After</t>
  </si>
  <si>
    <t>MissingAfter</t>
  </si>
  <si>
    <t>port_100pct_AVUS_proxy</t>
  </si>
  <si>
    <t>OPT_bundle</t>
  </si>
  <si>
    <t>NOC_LMT_HardWorld_Test</t>
  </si>
  <si>
    <t>manual_recent</t>
  </si>
  <si>
    <t>NOC;LMT;GD;RTX</t>
  </si>
  <si>
    <t>Versus_Market_Benchmarks</t>
  </si>
  <si>
    <t>VOO;VTI;VT;AVUS;VTSAX;IXUS</t>
  </si>
  <si>
    <t>IBKR_NDAQ_Exchange_Test</t>
  </si>
  <si>
    <t>IBKR;NDAQ</t>
  </si>
  <si>
    <t>port_AVUS50_AVUV50_proxy</t>
  </si>
  <si>
    <t>port_target_date_2070_VSVNX_proxy</t>
  </si>
  <si>
    <t>IEF/aggregate-bond proxy;IXUS</t>
  </si>
  <si>
    <t>port_median_investor_60IVV_20IXUS_20IEF_proxy</t>
  </si>
  <si>
    <t>IEF;IXUS</t>
  </si>
  <si>
    <t>Evergreen_20260612</t>
  </si>
  <si>
    <t>PPA;JQUA;MSCI;ITA;EUAD;HACK</t>
  </si>
  <si>
    <t>OPT_TollboothOnly_41</t>
  </si>
  <si>
    <t>pathce_candidates</t>
  </si>
  <si>
    <t>JQUA;SMH</t>
  </si>
  <si>
    <t>PASS2_prudence_capped</t>
  </si>
  <si>
    <t>HACK;ITA;MSCI;PPA</t>
  </si>
  <si>
    <t>OPT_TollboothOnly_21</t>
  </si>
  <si>
    <t>Hybrid_Productivity</t>
  </si>
  <si>
    <t>OPT_TollboothOnly_16</t>
  </si>
  <si>
    <t>OPT_TollboothOnly_20</t>
  </si>
  <si>
    <t>OPT_TollboothOnly_3</t>
  </si>
  <si>
    <t>Ev2_RCEW_clean</t>
  </si>
  <si>
    <t>OPT_TollboothOnly_10</t>
  </si>
  <si>
    <t>OPT_TollboothOnly_50</t>
  </si>
  <si>
    <t>OPT_TollboothOnly_19</t>
  </si>
  <si>
    <t>OPT_TollboothOnly_22</t>
  </si>
  <si>
    <t>OPT_TollboothOnly_30</t>
  </si>
  <si>
    <t>OPT_TollboothOnly_33</t>
  </si>
  <si>
    <t>OPT_TollboothOnly_36</t>
  </si>
  <si>
    <t>JQUA3</t>
  </si>
  <si>
    <t>SMH;JQUA</t>
  </si>
  <si>
    <t>OPT_TollboothOnly_27</t>
  </si>
  <si>
    <t>AIQP_R2</t>
  </si>
  <si>
    <t>OPT_TollboothOnly_2</t>
  </si>
  <si>
    <t>OPT_TollboothOnly_26</t>
  </si>
  <si>
    <t>OPT_TollboothOnly_29</t>
  </si>
  <si>
    <t>OPT_TollboothOnly_31</t>
  </si>
  <si>
    <t>OPT_TollboothOnly_38</t>
  </si>
  <si>
    <t>OPT_TollboothOnly_40</t>
  </si>
  <si>
    <t>OPT_TollboothOnly_43</t>
  </si>
  <si>
    <t>HX20_04</t>
  </si>
  <si>
    <t>OPT_TollboothOnly_13</t>
  </si>
  <si>
    <t>OPT_TollboothOnly_14</t>
  </si>
  <si>
    <t>OPT_TollboothOnly_15</t>
  </si>
  <si>
    <t>OPT_TollboothOnly_44</t>
  </si>
  <si>
    <t>OPT_TollboothOnly_12</t>
  </si>
  <si>
    <t>OPT_TollboothOnly_25</t>
  </si>
  <si>
    <t>OPT_TollboothOnly_46</t>
  </si>
  <si>
    <t>OPT_TollboothOnly_8</t>
  </si>
  <si>
    <t>OPT_TollboothOnly_39</t>
  </si>
  <si>
    <t>OPT_TollboothOnly_6</t>
  </si>
  <si>
    <t>OPT_TollboothOnly_17</t>
  </si>
  <si>
    <t>OPT_TollboothOnly_34</t>
  </si>
  <si>
    <t>OPT_TollboothOnly_47</t>
  </si>
  <si>
    <t>20260623_Modest_basket</t>
  </si>
  <si>
    <t>20260623_current</t>
  </si>
  <si>
    <t>Md2_CTA</t>
  </si>
  <si>
    <t>Md2_ICE</t>
  </si>
  <si>
    <t>Md_11_fewer_holdings</t>
  </si>
  <si>
    <t>OPT_TollboothOnly_1</t>
  </si>
  <si>
    <t>OPT_TollboothOnly_11</t>
  </si>
  <si>
    <t>OPT_TollboothOnly_18</t>
  </si>
  <si>
    <t>OPT_TollboothOnly_23</t>
  </si>
  <si>
    <t>OPT_TollboothOnly_24</t>
  </si>
  <si>
    <t>OPT_TollboothOnly_28</t>
  </si>
  <si>
    <t>OPT_TollboothOnly_32</t>
  </si>
  <si>
    <t>OPT_TollboothOnly_35</t>
  </si>
  <si>
    <t>OPT_TollboothOnly_37</t>
  </si>
  <si>
    <t>OPT_TollboothOnly_4</t>
  </si>
  <si>
    <t>OPT_TollboothOnly_42</t>
  </si>
  <si>
    <t>OPT_TollboothOnly_45</t>
  </si>
  <si>
    <t>OPT_TollboothOnly_48</t>
  </si>
  <si>
    <t>OPT_TollboothOnly_49</t>
  </si>
  <si>
    <t>OPT_TollboothOnly_5</t>
  </si>
  <si>
    <t>OPT_TollboothOnly_7</t>
  </si>
  <si>
    <t>OPT_TollboothOnly_9</t>
  </si>
  <si>
    <t>Pc_16_more_holdings</t>
  </si>
  <si>
    <t>port_100pct_SP500_IVV_proxy</t>
  </si>
  <si>
    <t>Check (ticker x scenario, provenance)</t>
  </si>
  <si>
    <t>p_Mkt-RF</t>
  </si>
  <si>
    <t>p_SMB</t>
  </si>
  <si>
    <t>p_HML</t>
  </si>
  <si>
    <t>p_RMW</t>
  </si>
  <si>
    <t>p_CMA</t>
  </si>
  <si>
    <t>p_Mom</t>
  </si>
  <si>
    <t>b_Mkt-RF</t>
  </si>
  <si>
    <t>b_SMB</t>
  </si>
  <si>
    <t>b_HML</t>
  </si>
  <si>
    <t>b_RMW</t>
  </si>
  <si>
    <t>b_CMA</t>
  </si>
  <si>
    <t>b_Mom</t>
  </si>
  <si>
    <t>alpha_m</t>
  </si>
  <si>
    <t>delta</t>
  </si>
  <si>
    <t>recon</t>
  </si>
  <si>
    <t>stored</t>
  </si>
  <si>
    <t>diff</t>
  </si>
  <si>
    <t>QTUM x Stagflation / Fiscal Dom [fitted_2026Q2]</t>
  </si>
  <si>
    <t>CEG x Credit Stress – Shadow/P [fitted_2026Q2_source_update]</t>
  </si>
  <si>
    <t>MOAT x Base Case – Managed Re-i [house_2026Q1]</t>
  </si>
  <si>
    <t>IEF/aggregate-bond proxy x Base Case – Managed Re-i [proxy_2026Q2_source_update]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</si>
</sst>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0"/>
    <numFmt numFmtId="165" formatCode="0.0;\-0.0;\-"/>
    <numFmt numFmtId="166" formatCode="0.0"/>
    <numFmt numFmtId="167" formatCode="0.000"/>
  </numFmts>
  <fonts count="5">
    <font>
      <sz val="11.0"/>
      <color theme="1"/>
      <name val="Calibri"/>
      <scheme val="minor"/>
    </font>
    <font>
      <b/>
      <sz val="14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0.0"/>
      <color rgb="FFFFFF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CE4D6"/>
        <bgColor rgb="FFFCE4D6"/>
      </patternFill>
    </fill>
    <fill>
      <patternFill patternType="solid">
        <fgColor rgb="FFDDEBF7"/>
        <bgColor rgb="FFDDEBF7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bottom" wrapText="0"/>
    </xf>
    <xf borderId="1" fillId="0" fontId="2" numFmtId="2" xfId="0" applyAlignment="1" applyBorder="1" applyFont="1" applyNumberFormat="1">
      <alignment shrinkToFit="0" vertical="bottom" wrapText="0"/>
    </xf>
    <xf borderId="1" fillId="3" fontId="2" numFmtId="0" xfId="0" applyAlignment="1" applyBorder="1" applyFill="1" applyFont="1">
      <alignment shrinkToFit="0" vertical="bottom" wrapText="0"/>
    </xf>
    <xf borderId="1" fillId="3" fontId="2" numFmtId="2" xfId="0" applyAlignment="1" applyBorder="1" applyFont="1" applyNumberFormat="1">
      <alignment shrinkToFit="0" vertical="bottom" wrapText="0"/>
    </xf>
    <xf borderId="1" fillId="4" fontId="2" numFmtId="0" xfId="0" applyAlignment="1" applyBorder="1" applyFill="1" applyFont="1">
      <alignment shrinkToFit="0" vertical="bottom" wrapText="0"/>
    </xf>
    <xf borderId="1" fillId="4" fontId="2" numFmtId="2" xfId="0" applyAlignment="1" applyBorder="1" applyFont="1" applyNumberFormat="1">
      <alignment shrinkToFit="0" vertical="bottom" wrapText="0"/>
    </xf>
    <xf borderId="1" fillId="0" fontId="2" numFmtId="164" xfId="0" applyAlignment="1" applyBorder="1" applyFont="1" applyNumberFormat="1">
      <alignment shrinkToFit="0" vertical="bottom" wrapText="0"/>
    </xf>
    <xf borderId="1" fillId="3" fontId="2" numFmtId="164" xfId="0" applyAlignment="1" applyBorder="1" applyFont="1" applyNumberFormat="1">
      <alignment shrinkToFit="0" vertical="bottom" wrapText="0"/>
    </xf>
    <xf borderId="1" fillId="4" fontId="2" numFmtId="164" xfId="0" applyAlignment="1" applyBorder="1" applyFont="1" applyNumberFormat="1">
      <alignment shrinkToFit="0" vertical="bottom" wrapText="0"/>
    </xf>
    <xf borderId="1" fillId="0" fontId="2" numFmtId="165" xfId="0" applyAlignment="1" applyBorder="1" applyFont="1" applyNumberFormat="1">
      <alignment shrinkToFit="0" vertical="bottom" wrapText="0"/>
    </xf>
    <xf borderId="1" fillId="3" fontId="2" numFmtId="165" xfId="0" applyAlignment="1" applyBorder="1" applyFont="1" applyNumberFormat="1">
      <alignment shrinkToFit="0" vertical="bottom" wrapText="0"/>
    </xf>
    <xf borderId="1" fillId="4" fontId="2" numFmtId="165" xfId="0" applyAlignment="1" applyBorder="1" applyFont="1" applyNumberFormat="1">
      <alignment shrinkToFit="0" vertical="bottom" wrapText="0"/>
    </xf>
    <xf borderId="1" fillId="0" fontId="2" numFmtId="166" xfId="0" applyAlignment="1" applyBorder="1" applyFont="1" applyNumberFormat="1">
      <alignment shrinkToFit="0" vertical="bottom" wrapText="0"/>
    </xf>
    <xf borderId="1" fillId="0" fontId="2" numFmtId="167" xfId="0" applyAlignment="1" applyBorder="1" applyFont="1" applyNumberFormat="1">
      <alignment shrinkToFit="0" vertical="bottom" wrapText="0"/>
    </xf>
    <xf borderId="1" fillId="2" fontId="4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shrinkToFit="0" vertical="bottom" wrapText="0"/>
    </xf>
    <xf borderId="0" fillId="0" fontId="2" numFmtId="166" xfId="0" applyAlignment="1" applyFont="1" applyNumberForma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2" numFmtId="165" xfId="0" applyAlignment="1" applyFont="1" applyNumberFormat="1">
      <alignment shrinkToFit="0" vertical="bottom" wrapText="0"/>
    </xf>
    <xf borderId="0" fillId="0" fontId="2" numFmtId="2" xfId="0" applyAlignment="1" applyFont="1" applyNumberFormat="1">
      <alignment shrinkToFit="0" vertical="bottom" wrapText="0"/>
    </xf>
    <xf borderId="0" fillId="0" fontId="2" numFmtId="167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0.0"/>
    <col customWidth="1" min="2" max="26" width="8.71"/>
  </cols>
  <sheetData>
    <row r="1">
      <c r="A1" s="1" t="s">
        <v>0</v>
      </c>
    </row>
    <row r="3">
      <c r="A3" s="2"/>
    </row>
    <row r="4">
      <c r="A4" s="3" t="s">
        <v>1</v>
      </c>
    </row>
    <row r="5">
      <c r="A5" s="2" t="s">
        <v>2</v>
      </c>
    </row>
    <row r="6">
      <c r="A6" s="2" t="s">
        <v>3</v>
      </c>
    </row>
    <row r="7">
      <c r="A7" s="2"/>
    </row>
    <row r="8">
      <c r="A8" s="3" t="s">
        <v>4</v>
      </c>
    </row>
    <row r="9">
      <c r="A9" s="2" t="s">
        <v>5</v>
      </c>
    </row>
    <row r="10">
      <c r="A10" s="2" t="s">
        <v>6</v>
      </c>
    </row>
    <row r="11">
      <c r="A11" s="2" t="s">
        <v>7</v>
      </c>
    </row>
    <row r="12">
      <c r="A12" s="2" t="s">
        <v>8</v>
      </c>
    </row>
    <row r="13">
      <c r="A13" s="2" t="s">
        <v>9</v>
      </c>
    </row>
    <row r="14">
      <c r="A14" s="2"/>
    </row>
    <row r="15">
      <c r="A15" s="3" t="s">
        <v>10</v>
      </c>
    </row>
    <row r="16">
      <c r="A16" s="2" t="s">
        <v>11</v>
      </c>
    </row>
    <row r="17">
      <c r="A17" s="2" t="s">
        <v>12</v>
      </c>
    </row>
    <row r="18">
      <c r="A18" s="2" t="s">
        <v>13</v>
      </c>
    </row>
    <row r="19">
      <c r="A19" s="2" t="s">
        <v>14</v>
      </c>
    </row>
    <row r="20">
      <c r="A20" s="2" t="s">
        <v>15</v>
      </c>
    </row>
    <row r="21" ht="15.75" customHeight="1">
      <c r="A21" s="2" t="s">
        <v>16</v>
      </c>
    </row>
    <row r="22" ht="15.75" customHeight="1">
      <c r="A22" s="2"/>
    </row>
    <row r="23" ht="15.75" customHeight="1">
      <c r="A23" s="3" t="s">
        <v>17</v>
      </c>
    </row>
    <row r="24" ht="15.75" customHeight="1">
      <c r="A24" s="2" t="s">
        <v>18</v>
      </c>
    </row>
    <row r="25" ht="15.75" customHeight="1">
      <c r="A25" s="2"/>
    </row>
    <row r="26" ht="15.75" customHeight="1">
      <c r="A26" s="3" t="s">
        <v>19</v>
      </c>
    </row>
    <row r="27" ht="15.75" customHeight="1">
      <c r="A27" s="2" t="s">
        <v>20</v>
      </c>
    </row>
    <row r="28" ht="15.75" customHeight="1">
      <c r="A28" s="2" t="s">
        <v>21</v>
      </c>
    </row>
    <row r="29" ht="15.75" customHeight="1">
      <c r="A29" s="2" t="s">
        <v>22</v>
      </c>
    </row>
    <row r="30" ht="15.75" customHeight="1">
      <c r="A30" s="2"/>
    </row>
    <row r="31" ht="15.75" customHeight="1">
      <c r="A31" s="3" t="s">
        <v>23</v>
      </c>
    </row>
    <row r="32" ht="15.75" customHeight="1">
      <c r="A32" s="3" t="s">
        <v>24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3.0"/>
    <col customWidth="1" min="2" max="21" width="10.0"/>
    <col customWidth="1" min="22" max="22" width="24.0"/>
    <col customWidth="1" min="23" max="26" width="8.71"/>
  </cols>
  <sheetData>
    <row r="1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32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  <c r="N1" s="4" t="s">
        <v>38</v>
      </c>
      <c r="O1" s="4" t="s">
        <v>39</v>
      </c>
      <c r="P1" s="4" t="s">
        <v>40</v>
      </c>
      <c r="Q1" s="4" t="s">
        <v>41</v>
      </c>
      <c r="R1" s="4" t="s">
        <v>42</v>
      </c>
      <c r="S1" s="4" t="s">
        <v>43</v>
      </c>
      <c r="T1" s="4" t="s">
        <v>44</v>
      </c>
      <c r="U1" s="4" t="s">
        <v>45</v>
      </c>
      <c r="V1" s="4" t="s">
        <v>46</v>
      </c>
    </row>
    <row r="2">
      <c r="A2" s="5" t="s">
        <v>47</v>
      </c>
      <c r="B2" s="6">
        <v>12.61</v>
      </c>
      <c r="C2" s="6">
        <v>15.08</v>
      </c>
      <c r="D2" s="6">
        <v>8.79</v>
      </c>
      <c r="E2" s="6">
        <v>8.56</v>
      </c>
      <c r="F2" s="6">
        <v>-0.42</v>
      </c>
      <c r="G2" s="6">
        <v>10.95</v>
      </c>
      <c r="H2" s="6">
        <v>10.23</v>
      </c>
      <c r="I2" s="6">
        <v>6.85</v>
      </c>
      <c r="J2" s="6">
        <v>0.42</v>
      </c>
      <c r="K2" s="6">
        <v>8.29</v>
      </c>
      <c r="L2" s="6">
        <v>1.71</v>
      </c>
      <c r="M2" s="6">
        <v>-1.41</v>
      </c>
      <c r="N2" s="6">
        <v>0.61</v>
      </c>
      <c r="O2" s="6">
        <v>13.24</v>
      </c>
      <c r="P2" s="6">
        <v>4.25</v>
      </c>
      <c r="Q2" s="6">
        <v>10.24</v>
      </c>
      <c r="R2" s="6">
        <v>6.48</v>
      </c>
      <c r="S2" s="6">
        <v>3.93</v>
      </c>
      <c r="T2" s="6">
        <v>6.23</v>
      </c>
      <c r="U2" s="6">
        <v>6.69</v>
      </c>
      <c r="V2" s="5" t="s">
        <v>48</v>
      </c>
    </row>
    <row r="3">
      <c r="A3" s="5" t="s">
        <v>49</v>
      </c>
      <c r="B3" s="6">
        <v>4.49</v>
      </c>
      <c r="C3" s="6">
        <v>6.1</v>
      </c>
      <c r="D3" s="6">
        <v>4.01</v>
      </c>
      <c r="E3" s="6">
        <v>3.96</v>
      </c>
      <c r="F3" s="6">
        <v>0.08</v>
      </c>
      <c r="G3" s="6">
        <v>4.36</v>
      </c>
      <c r="H3" s="6">
        <v>4.36</v>
      </c>
      <c r="I3" s="6">
        <v>2.59</v>
      </c>
      <c r="J3" s="6">
        <v>-0.73</v>
      </c>
      <c r="K3" s="6">
        <v>3.94</v>
      </c>
      <c r="L3" s="6">
        <v>-0.21</v>
      </c>
      <c r="M3" s="6">
        <v>-0.7</v>
      </c>
      <c r="N3" s="6">
        <v>0.89</v>
      </c>
      <c r="O3" s="6">
        <v>4.29</v>
      </c>
      <c r="P3" s="6">
        <v>2.13</v>
      </c>
      <c r="Q3" s="6">
        <v>3.78</v>
      </c>
      <c r="R3" s="6">
        <v>2.73</v>
      </c>
      <c r="S3" s="6">
        <v>3.12</v>
      </c>
      <c r="T3" s="6">
        <v>2.97</v>
      </c>
      <c r="U3" s="6">
        <v>3.09</v>
      </c>
      <c r="V3" s="5" t="s">
        <v>48</v>
      </c>
    </row>
    <row r="4">
      <c r="A4" s="5" t="s">
        <v>50</v>
      </c>
      <c r="B4" s="6">
        <v>7.92</v>
      </c>
      <c r="C4" s="6">
        <v>11.13</v>
      </c>
      <c r="D4" s="6">
        <v>6.9</v>
      </c>
      <c r="E4" s="6">
        <v>6.18</v>
      </c>
      <c r="F4" s="6">
        <v>-2.62</v>
      </c>
      <c r="G4" s="6">
        <v>6.94</v>
      </c>
      <c r="H4" s="6">
        <v>7.09</v>
      </c>
      <c r="I4" s="6">
        <v>4.94</v>
      </c>
      <c r="J4" s="6">
        <v>-0.16</v>
      </c>
      <c r="K4" s="6">
        <v>5.81</v>
      </c>
      <c r="L4" s="6">
        <v>2.25</v>
      </c>
      <c r="M4" s="6">
        <v>-1.46</v>
      </c>
      <c r="N4" s="6">
        <v>-1.12</v>
      </c>
      <c r="O4" s="6">
        <v>7.86</v>
      </c>
      <c r="P4" s="6">
        <v>1.58</v>
      </c>
      <c r="Q4" s="6">
        <v>6.36</v>
      </c>
      <c r="R4" s="6">
        <v>4.82</v>
      </c>
      <c r="S4" s="6">
        <v>4.0</v>
      </c>
      <c r="T4" s="6">
        <v>4.26</v>
      </c>
      <c r="U4" s="6">
        <v>5.21</v>
      </c>
      <c r="V4" s="5" t="s">
        <v>48</v>
      </c>
    </row>
    <row r="5">
      <c r="A5" s="5" t="s">
        <v>51</v>
      </c>
      <c r="B5" s="6">
        <v>4.11</v>
      </c>
      <c r="C5" s="6">
        <v>5.3</v>
      </c>
      <c r="D5" s="6">
        <v>0.96</v>
      </c>
      <c r="E5" s="6">
        <v>1.68</v>
      </c>
      <c r="F5" s="6">
        <v>-4.35</v>
      </c>
      <c r="G5" s="6">
        <v>8.81</v>
      </c>
      <c r="H5" s="6">
        <v>5.05</v>
      </c>
      <c r="I5" s="6">
        <v>-0.26</v>
      </c>
      <c r="J5" s="6">
        <v>-6.18</v>
      </c>
      <c r="K5" s="6">
        <v>2.89</v>
      </c>
      <c r="L5" s="6">
        <v>-2.75</v>
      </c>
      <c r="M5" s="6">
        <v>-11.47</v>
      </c>
      <c r="N5" s="6">
        <v>-4.81</v>
      </c>
      <c r="O5" s="6">
        <v>5.83</v>
      </c>
      <c r="P5" s="6">
        <v>2.21</v>
      </c>
      <c r="Q5" s="6">
        <v>3.17</v>
      </c>
      <c r="R5" s="6">
        <v>1.19</v>
      </c>
      <c r="S5" s="6">
        <v>-2.72</v>
      </c>
      <c r="T5" s="6">
        <v>0.76</v>
      </c>
      <c r="U5" s="6">
        <v>-0.05</v>
      </c>
      <c r="V5" s="5" t="s">
        <v>48</v>
      </c>
    </row>
    <row r="6">
      <c r="A6" s="5" t="s">
        <v>52</v>
      </c>
      <c r="B6" s="6">
        <v>9.05</v>
      </c>
      <c r="C6" s="6">
        <v>10.18</v>
      </c>
      <c r="D6" s="6">
        <v>6.55</v>
      </c>
      <c r="E6" s="6">
        <v>7.26</v>
      </c>
      <c r="F6" s="6">
        <v>4.39</v>
      </c>
      <c r="G6" s="6">
        <v>12.75</v>
      </c>
      <c r="H6" s="6">
        <v>9.14</v>
      </c>
      <c r="I6" s="6">
        <v>7.51</v>
      </c>
      <c r="J6" s="6">
        <v>5.23</v>
      </c>
      <c r="K6" s="6">
        <v>9.08</v>
      </c>
      <c r="L6" s="6">
        <v>5.28</v>
      </c>
      <c r="M6" s="6">
        <v>1.52</v>
      </c>
      <c r="N6" s="6">
        <v>3.97</v>
      </c>
      <c r="O6" s="6">
        <v>9.35</v>
      </c>
      <c r="P6" s="6">
        <v>8.16</v>
      </c>
      <c r="Q6" s="6">
        <v>8.31</v>
      </c>
      <c r="R6" s="6">
        <v>6.46</v>
      </c>
      <c r="S6" s="6">
        <v>4.77</v>
      </c>
      <c r="T6" s="6">
        <v>8.28</v>
      </c>
      <c r="U6" s="6">
        <v>7.38</v>
      </c>
      <c r="V6" s="5" t="s">
        <v>48</v>
      </c>
    </row>
    <row r="7">
      <c r="A7" s="5" t="s">
        <v>53</v>
      </c>
      <c r="B7" s="6">
        <v>7.63</v>
      </c>
      <c r="C7" s="6">
        <v>9.26</v>
      </c>
      <c r="D7" s="6">
        <v>7.46</v>
      </c>
      <c r="E7" s="6">
        <v>7.76</v>
      </c>
      <c r="F7" s="6">
        <v>3.81</v>
      </c>
      <c r="G7" s="6">
        <v>6.06</v>
      </c>
      <c r="H7" s="6">
        <v>7.02</v>
      </c>
      <c r="I7" s="6">
        <v>5.78</v>
      </c>
      <c r="J7" s="6">
        <v>1.31</v>
      </c>
      <c r="K7" s="6">
        <v>6.71</v>
      </c>
      <c r="L7" s="6">
        <v>3.5</v>
      </c>
      <c r="M7" s="6">
        <v>0.06</v>
      </c>
      <c r="N7" s="6">
        <v>3.21</v>
      </c>
      <c r="O7" s="6">
        <v>7.33</v>
      </c>
      <c r="P7" s="6">
        <v>4.43</v>
      </c>
      <c r="Q7" s="6">
        <v>6.39</v>
      </c>
      <c r="R7" s="6">
        <v>5.55</v>
      </c>
      <c r="S7" s="6">
        <v>4.78</v>
      </c>
      <c r="T7" s="6">
        <v>4.89</v>
      </c>
      <c r="U7" s="6">
        <v>7.1</v>
      </c>
      <c r="V7" s="5" t="s">
        <v>48</v>
      </c>
    </row>
    <row r="8">
      <c r="A8" s="5" t="s">
        <v>54</v>
      </c>
      <c r="B8" s="6">
        <v>6.03</v>
      </c>
      <c r="C8" s="6">
        <v>8.54</v>
      </c>
      <c r="D8" s="6">
        <v>3.89</v>
      </c>
      <c r="E8" s="6">
        <v>4.64</v>
      </c>
      <c r="F8" s="6">
        <v>-2.66</v>
      </c>
      <c r="G8" s="6">
        <v>5.76</v>
      </c>
      <c r="H8" s="6">
        <v>5.66</v>
      </c>
      <c r="I8" s="6">
        <v>2.32</v>
      </c>
      <c r="J8" s="6">
        <v>-1.84</v>
      </c>
      <c r="K8" s="6">
        <v>4.6</v>
      </c>
      <c r="L8" s="6">
        <v>-0.91</v>
      </c>
      <c r="M8" s="6">
        <v>-1.59</v>
      </c>
      <c r="N8" s="6">
        <v>-1.39</v>
      </c>
      <c r="O8" s="6">
        <v>6.05</v>
      </c>
      <c r="P8" s="6">
        <v>0.78</v>
      </c>
      <c r="Q8" s="6">
        <v>4.92</v>
      </c>
      <c r="R8" s="6">
        <v>2.67</v>
      </c>
      <c r="S8" s="6">
        <v>2.96</v>
      </c>
      <c r="T8" s="6">
        <v>3.42</v>
      </c>
      <c r="U8" s="6">
        <v>2.68</v>
      </c>
      <c r="V8" s="5" t="s">
        <v>48</v>
      </c>
    </row>
    <row r="9">
      <c r="A9" s="5" t="s">
        <v>55</v>
      </c>
      <c r="B9" s="6">
        <v>7.76</v>
      </c>
      <c r="C9" s="6">
        <v>9.36</v>
      </c>
      <c r="D9" s="6">
        <v>5.14</v>
      </c>
      <c r="E9" s="6">
        <v>4.86</v>
      </c>
      <c r="F9" s="6">
        <v>-0.51</v>
      </c>
      <c r="G9" s="6">
        <v>8.54</v>
      </c>
      <c r="H9" s="6">
        <v>9.32</v>
      </c>
      <c r="I9" s="6">
        <v>3.58</v>
      </c>
      <c r="J9" s="6">
        <v>-3.35</v>
      </c>
      <c r="K9" s="6">
        <v>4.9</v>
      </c>
      <c r="L9" s="6">
        <v>0.9</v>
      </c>
      <c r="M9" s="6">
        <v>-4.14</v>
      </c>
      <c r="N9" s="6">
        <v>-0.65</v>
      </c>
      <c r="O9" s="6">
        <v>7.79</v>
      </c>
      <c r="P9" s="6">
        <v>3.09</v>
      </c>
      <c r="Q9" s="6">
        <v>8.4</v>
      </c>
      <c r="R9" s="6">
        <v>4.6</v>
      </c>
      <c r="S9" s="6">
        <v>0.59</v>
      </c>
      <c r="T9" s="6">
        <v>2.89</v>
      </c>
      <c r="U9" s="6">
        <v>3.38</v>
      </c>
      <c r="V9" s="5" t="s">
        <v>48</v>
      </c>
    </row>
    <row r="10">
      <c r="A10" s="5" t="s">
        <v>56</v>
      </c>
      <c r="B10" s="6">
        <v>8.97</v>
      </c>
      <c r="C10" s="6">
        <v>9.7</v>
      </c>
      <c r="D10" s="6">
        <v>7.64</v>
      </c>
      <c r="E10" s="6">
        <v>7.58</v>
      </c>
      <c r="F10" s="6">
        <v>3.51</v>
      </c>
      <c r="G10" s="6">
        <v>10.28</v>
      </c>
      <c r="H10" s="6">
        <v>8.8</v>
      </c>
      <c r="I10" s="6">
        <v>6.56</v>
      </c>
      <c r="J10" s="6">
        <v>1.19</v>
      </c>
      <c r="K10" s="6">
        <v>7.74</v>
      </c>
      <c r="L10" s="6">
        <v>4.31</v>
      </c>
      <c r="M10" s="6">
        <v>-0.63</v>
      </c>
      <c r="N10" s="6">
        <v>2.9</v>
      </c>
      <c r="O10" s="6">
        <v>9.01</v>
      </c>
      <c r="P10" s="6">
        <v>6.67</v>
      </c>
      <c r="Q10" s="6">
        <v>8.02</v>
      </c>
      <c r="R10" s="6">
        <v>6.54</v>
      </c>
      <c r="S10" s="6">
        <v>4.55</v>
      </c>
      <c r="T10" s="6">
        <v>6.05</v>
      </c>
      <c r="U10" s="6">
        <v>6.44</v>
      </c>
      <c r="V10" s="5" t="s">
        <v>48</v>
      </c>
    </row>
    <row r="11">
      <c r="A11" s="5" t="s">
        <v>57</v>
      </c>
      <c r="B11" s="6">
        <v>8.26</v>
      </c>
      <c r="C11" s="6">
        <v>9.41</v>
      </c>
      <c r="D11" s="6">
        <v>5.04</v>
      </c>
      <c r="E11" s="6">
        <v>5.4</v>
      </c>
      <c r="F11" s="6">
        <v>-0.43</v>
      </c>
      <c r="G11" s="6">
        <v>10.46</v>
      </c>
      <c r="H11" s="6">
        <v>8.29</v>
      </c>
      <c r="I11" s="6">
        <v>3.67</v>
      </c>
      <c r="J11" s="6">
        <v>-1.7</v>
      </c>
      <c r="K11" s="6">
        <v>6.03</v>
      </c>
      <c r="L11" s="6">
        <v>1.33</v>
      </c>
      <c r="M11" s="6">
        <v>-6.49</v>
      </c>
      <c r="N11" s="6">
        <v>-0.49</v>
      </c>
      <c r="O11" s="6">
        <v>9.4</v>
      </c>
      <c r="P11" s="6">
        <v>5.38</v>
      </c>
      <c r="Q11" s="6">
        <v>6.61</v>
      </c>
      <c r="R11" s="6">
        <v>4.77</v>
      </c>
      <c r="S11" s="6">
        <v>0.94</v>
      </c>
      <c r="T11" s="6">
        <v>4.44</v>
      </c>
      <c r="U11" s="6">
        <v>3.7</v>
      </c>
      <c r="V11" s="5" t="s">
        <v>48</v>
      </c>
    </row>
    <row r="12">
      <c r="A12" s="5" t="s">
        <v>58</v>
      </c>
      <c r="B12" s="6">
        <v>7.7</v>
      </c>
      <c r="C12" s="6">
        <v>8.47</v>
      </c>
      <c r="D12" s="6">
        <v>7.89</v>
      </c>
      <c r="E12" s="6">
        <v>7.2</v>
      </c>
      <c r="F12" s="6">
        <v>4.42</v>
      </c>
      <c r="G12" s="6">
        <v>8.1</v>
      </c>
      <c r="H12" s="6">
        <v>7.46</v>
      </c>
      <c r="I12" s="6">
        <v>5.94</v>
      </c>
      <c r="J12" s="6">
        <v>1.32</v>
      </c>
      <c r="K12" s="6">
        <v>6.76</v>
      </c>
      <c r="L12" s="6">
        <v>3.82</v>
      </c>
      <c r="M12" s="6">
        <v>-0.06</v>
      </c>
      <c r="N12" s="6">
        <v>3.02</v>
      </c>
      <c r="O12" s="6">
        <v>7.54</v>
      </c>
      <c r="P12" s="6">
        <v>4.85</v>
      </c>
      <c r="Q12" s="6">
        <v>6.8</v>
      </c>
      <c r="R12" s="6">
        <v>5.75</v>
      </c>
      <c r="S12" s="6">
        <v>4.69</v>
      </c>
      <c r="T12" s="6">
        <v>5.2</v>
      </c>
      <c r="U12" s="6">
        <v>6.07</v>
      </c>
      <c r="V12" s="5" t="s">
        <v>48</v>
      </c>
    </row>
    <row r="13">
      <c r="A13" s="5" t="s">
        <v>59</v>
      </c>
      <c r="B13" s="6">
        <v>3.97</v>
      </c>
      <c r="C13" s="6">
        <v>4.69</v>
      </c>
      <c r="D13" s="6">
        <v>3.81</v>
      </c>
      <c r="E13" s="6">
        <v>2.84</v>
      </c>
      <c r="F13" s="6">
        <v>-1.07</v>
      </c>
      <c r="G13" s="6">
        <v>4.44</v>
      </c>
      <c r="H13" s="6">
        <v>4.3</v>
      </c>
      <c r="I13" s="6">
        <v>2.53</v>
      </c>
      <c r="J13" s="6">
        <v>-3.43</v>
      </c>
      <c r="K13" s="6">
        <v>2.96</v>
      </c>
      <c r="L13" s="6">
        <v>-0.2</v>
      </c>
      <c r="M13" s="6">
        <v>-3.93</v>
      </c>
      <c r="N13" s="6">
        <v>-1.58</v>
      </c>
      <c r="O13" s="6">
        <v>3.9</v>
      </c>
      <c r="P13" s="6">
        <v>0.98</v>
      </c>
      <c r="Q13" s="6">
        <v>3.55</v>
      </c>
      <c r="R13" s="6">
        <v>2.35</v>
      </c>
      <c r="S13" s="6">
        <v>2.01</v>
      </c>
      <c r="T13" s="6">
        <v>0.81</v>
      </c>
      <c r="U13" s="6">
        <v>2.54</v>
      </c>
      <c r="V13" s="5" t="s">
        <v>48</v>
      </c>
    </row>
    <row r="14">
      <c r="A14" s="5" t="s">
        <v>60</v>
      </c>
      <c r="B14" s="6">
        <v>14.24</v>
      </c>
      <c r="C14" s="6">
        <v>14.31</v>
      </c>
      <c r="D14" s="6">
        <v>15.75</v>
      </c>
      <c r="E14" s="6">
        <v>13.08</v>
      </c>
      <c r="F14" s="6">
        <v>10.53</v>
      </c>
      <c r="G14" s="6">
        <v>13.92</v>
      </c>
      <c r="H14" s="6">
        <v>15.72</v>
      </c>
      <c r="I14" s="6">
        <v>12.7</v>
      </c>
      <c r="J14" s="6">
        <v>9.5</v>
      </c>
      <c r="K14" s="6">
        <v>13.19</v>
      </c>
      <c r="L14" s="6">
        <v>11.04</v>
      </c>
      <c r="M14" s="6">
        <v>9.36</v>
      </c>
      <c r="N14" s="6">
        <v>10.3</v>
      </c>
      <c r="O14" s="6">
        <v>13.74</v>
      </c>
      <c r="P14" s="6">
        <v>12.07</v>
      </c>
      <c r="Q14" s="6">
        <v>15.17</v>
      </c>
      <c r="R14" s="6">
        <v>12.93</v>
      </c>
      <c r="S14" s="6">
        <v>15.05</v>
      </c>
      <c r="T14" s="6">
        <v>12.48</v>
      </c>
      <c r="U14" s="6">
        <v>13.24</v>
      </c>
      <c r="V14" s="5" t="s">
        <v>48</v>
      </c>
    </row>
    <row r="15">
      <c r="A15" s="5" t="s">
        <v>61</v>
      </c>
      <c r="B15" s="6">
        <v>10.54</v>
      </c>
      <c r="C15" s="6">
        <v>12.19</v>
      </c>
      <c r="D15" s="6">
        <v>7.69</v>
      </c>
      <c r="E15" s="6">
        <v>7.69</v>
      </c>
      <c r="F15" s="6">
        <v>0.04</v>
      </c>
      <c r="G15" s="6">
        <v>9.71</v>
      </c>
      <c r="H15" s="6">
        <v>10.46</v>
      </c>
      <c r="I15" s="6">
        <v>5.44</v>
      </c>
      <c r="J15" s="6">
        <v>-0.66</v>
      </c>
      <c r="K15" s="6">
        <v>7.55</v>
      </c>
      <c r="L15" s="6">
        <v>1.69</v>
      </c>
      <c r="M15" s="6">
        <v>-3.2</v>
      </c>
      <c r="N15" s="6">
        <v>0.21</v>
      </c>
      <c r="O15" s="6">
        <v>10.55</v>
      </c>
      <c r="P15" s="6">
        <v>3.13</v>
      </c>
      <c r="Q15" s="6">
        <v>9.57</v>
      </c>
      <c r="R15" s="6">
        <v>6.87</v>
      </c>
      <c r="S15" s="6">
        <v>3.43</v>
      </c>
      <c r="T15" s="6">
        <v>5.21</v>
      </c>
      <c r="U15" s="6">
        <v>5.43</v>
      </c>
      <c r="V15" s="5" t="s">
        <v>48</v>
      </c>
    </row>
    <row r="16">
      <c r="A16" s="5" t="s">
        <v>62</v>
      </c>
      <c r="B16" s="6">
        <v>3.1</v>
      </c>
      <c r="C16" s="6">
        <v>4.12</v>
      </c>
      <c r="D16" s="6">
        <v>-1.19</v>
      </c>
      <c r="E16" s="6">
        <v>-0.38</v>
      </c>
      <c r="F16" s="6">
        <v>-7.01</v>
      </c>
      <c r="G16" s="6">
        <v>4.42</v>
      </c>
      <c r="H16" s="6">
        <v>2.51</v>
      </c>
      <c r="I16" s="6">
        <v>-2.45</v>
      </c>
      <c r="J16" s="6">
        <v>-8.8</v>
      </c>
      <c r="K16" s="6">
        <v>-0.01</v>
      </c>
      <c r="L16" s="6">
        <v>-5.33</v>
      </c>
      <c r="M16" s="6">
        <v>-13.47</v>
      </c>
      <c r="N16" s="6">
        <v>-7.24</v>
      </c>
      <c r="O16" s="6">
        <v>3.21</v>
      </c>
      <c r="P16" s="6">
        <v>-0.29</v>
      </c>
      <c r="Q16" s="6">
        <v>1.3</v>
      </c>
      <c r="R16" s="6">
        <v>-1.17</v>
      </c>
      <c r="S16" s="6">
        <v>-5.35</v>
      </c>
      <c r="T16" s="6">
        <v>-1.64</v>
      </c>
      <c r="U16" s="6">
        <v>-2.57</v>
      </c>
      <c r="V16" s="5" t="s">
        <v>48</v>
      </c>
    </row>
    <row r="17">
      <c r="A17" s="5" t="s">
        <v>63</v>
      </c>
      <c r="B17" s="6">
        <v>8.06</v>
      </c>
      <c r="C17" s="6">
        <v>9.05</v>
      </c>
      <c r="D17" s="6">
        <v>5.39</v>
      </c>
      <c r="E17" s="6">
        <v>5.77</v>
      </c>
      <c r="F17" s="6">
        <v>0.26</v>
      </c>
      <c r="G17" s="6">
        <v>11.72</v>
      </c>
      <c r="H17" s="6">
        <v>8.94</v>
      </c>
      <c r="I17" s="6">
        <v>4.18</v>
      </c>
      <c r="J17" s="6">
        <v>-1.68</v>
      </c>
      <c r="K17" s="6">
        <v>6.66</v>
      </c>
      <c r="L17" s="6">
        <v>1.73</v>
      </c>
      <c r="M17" s="6">
        <v>-5.61</v>
      </c>
      <c r="N17" s="6">
        <v>-0.27</v>
      </c>
      <c r="O17" s="6">
        <v>9.17</v>
      </c>
      <c r="P17" s="6">
        <v>6.19</v>
      </c>
      <c r="Q17" s="6">
        <v>7.02</v>
      </c>
      <c r="R17" s="6">
        <v>5.22</v>
      </c>
      <c r="S17" s="6">
        <v>1.41</v>
      </c>
      <c r="T17" s="6">
        <v>4.63</v>
      </c>
      <c r="U17" s="6">
        <v>4.36</v>
      </c>
      <c r="V17" s="5" t="s">
        <v>48</v>
      </c>
    </row>
    <row r="18">
      <c r="A18" s="5" t="s">
        <v>64</v>
      </c>
      <c r="B18" s="6">
        <v>6.53</v>
      </c>
      <c r="C18" s="6">
        <v>7.23</v>
      </c>
      <c r="D18" s="6">
        <v>6.78</v>
      </c>
      <c r="E18" s="6">
        <v>6.3</v>
      </c>
      <c r="F18" s="6">
        <v>3.29</v>
      </c>
      <c r="G18" s="6">
        <v>7.9</v>
      </c>
      <c r="H18" s="6">
        <v>6.46</v>
      </c>
      <c r="I18" s="6">
        <v>4.5</v>
      </c>
      <c r="J18" s="6">
        <v>-0.44</v>
      </c>
      <c r="K18" s="6">
        <v>5.4</v>
      </c>
      <c r="L18" s="6">
        <v>2.16</v>
      </c>
      <c r="M18" s="6">
        <v>-1.96</v>
      </c>
      <c r="N18" s="6">
        <v>1.87</v>
      </c>
      <c r="O18" s="6">
        <v>6.5</v>
      </c>
      <c r="P18" s="6">
        <v>4.1</v>
      </c>
      <c r="Q18" s="6">
        <v>5.53</v>
      </c>
      <c r="R18" s="6">
        <v>4.82</v>
      </c>
      <c r="S18" s="6">
        <v>2.85</v>
      </c>
      <c r="T18" s="6">
        <v>3.73</v>
      </c>
      <c r="U18" s="6">
        <v>4.44</v>
      </c>
      <c r="V18" s="5" t="s">
        <v>48</v>
      </c>
    </row>
    <row r="19">
      <c r="A19" s="5" t="s">
        <v>65</v>
      </c>
      <c r="B19" s="6">
        <v>4.41</v>
      </c>
      <c r="C19" s="6">
        <v>5.39</v>
      </c>
      <c r="D19" s="6">
        <v>1.36</v>
      </c>
      <c r="E19" s="6">
        <v>2.19</v>
      </c>
      <c r="F19" s="6">
        <v>-3.85</v>
      </c>
      <c r="G19" s="6">
        <v>8.54</v>
      </c>
      <c r="H19" s="6">
        <v>4.67</v>
      </c>
      <c r="I19" s="6">
        <v>0.55</v>
      </c>
      <c r="J19" s="6">
        <v>-5.53</v>
      </c>
      <c r="K19" s="6">
        <v>2.89</v>
      </c>
      <c r="L19" s="6">
        <v>-2.33</v>
      </c>
      <c r="M19" s="6">
        <v>-9.91</v>
      </c>
      <c r="N19" s="6">
        <v>-3.73</v>
      </c>
      <c r="O19" s="6">
        <v>5.47</v>
      </c>
      <c r="P19" s="6">
        <v>2.82</v>
      </c>
      <c r="Q19" s="6">
        <v>3.31</v>
      </c>
      <c r="R19" s="6">
        <v>1.62</v>
      </c>
      <c r="S19" s="6">
        <v>-2.08</v>
      </c>
      <c r="T19" s="6">
        <v>1.04</v>
      </c>
      <c r="U19" s="6">
        <v>1.36</v>
      </c>
      <c r="V19" s="5" t="s">
        <v>48</v>
      </c>
    </row>
    <row r="20">
      <c r="A20" s="5" t="s">
        <v>66</v>
      </c>
      <c r="B20" s="6">
        <v>8.58</v>
      </c>
      <c r="C20" s="6">
        <v>9.57</v>
      </c>
      <c r="D20" s="6">
        <v>5.91</v>
      </c>
      <c r="E20" s="6">
        <v>6.5</v>
      </c>
      <c r="F20" s="6">
        <v>0.25</v>
      </c>
      <c r="G20" s="6">
        <v>11.62</v>
      </c>
      <c r="H20" s="6">
        <v>8.62</v>
      </c>
      <c r="I20" s="6">
        <v>4.93</v>
      </c>
      <c r="J20" s="6">
        <v>-0.46</v>
      </c>
      <c r="K20" s="6">
        <v>6.9</v>
      </c>
      <c r="L20" s="6">
        <v>2.04</v>
      </c>
      <c r="M20" s="6">
        <v>-4.48</v>
      </c>
      <c r="N20" s="6">
        <v>0.83</v>
      </c>
      <c r="O20" s="6">
        <v>9.62</v>
      </c>
      <c r="P20" s="6">
        <v>6.82</v>
      </c>
      <c r="Q20" s="6">
        <v>7.36</v>
      </c>
      <c r="R20" s="6">
        <v>5.87</v>
      </c>
      <c r="S20" s="6">
        <v>3.06</v>
      </c>
      <c r="T20" s="6">
        <v>5.48</v>
      </c>
      <c r="U20" s="6">
        <v>6.09</v>
      </c>
      <c r="V20" s="5" t="s">
        <v>48</v>
      </c>
    </row>
    <row r="21" ht="15.75" customHeight="1">
      <c r="A21" s="5" t="s">
        <v>67</v>
      </c>
      <c r="B21" s="6">
        <v>7.05</v>
      </c>
      <c r="C21" s="6">
        <v>7.57</v>
      </c>
      <c r="D21" s="6">
        <v>6.81</v>
      </c>
      <c r="E21" s="6">
        <v>6.2</v>
      </c>
      <c r="F21" s="6">
        <v>1.81</v>
      </c>
      <c r="G21" s="6">
        <v>7.08</v>
      </c>
      <c r="H21" s="6">
        <v>6.58</v>
      </c>
      <c r="I21" s="6">
        <v>5.26</v>
      </c>
      <c r="J21" s="6">
        <v>0.7</v>
      </c>
      <c r="K21" s="6">
        <v>5.66</v>
      </c>
      <c r="L21" s="6">
        <v>2.91</v>
      </c>
      <c r="M21" s="6">
        <v>-0.59</v>
      </c>
      <c r="N21" s="6">
        <v>1.6</v>
      </c>
      <c r="O21" s="6">
        <v>6.79</v>
      </c>
      <c r="P21" s="6">
        <v>4.24</v>
      </c>
      <c r="Q21" s="6">
        <v>5.82</v>
      </c>
      <c r="R21" s="6">
        <v>5.0</v>
      </c>
      <c r="S21" s="6">
        <v>4.09</v>
      </c>
      <c r="T21" s="6">
        <v>4.3</v>
      </c>
      <c r="U21" s="6">
        <v>5.49</v>
      </c>
      <c r="V21" s="5" t="s">
        <v>48</v>
      </c>
    </row>
    <row r="22" ht="15.75" customHeight="1">
      <c r="A22" s="5" t="s">
        <v>68</v>
      </c>
      <c r="B22" s="6">
        <v>5.82</v>
      </c>
      <c r="C22" s="6">
        <v>6.74</v>
      </c>
      <c r="D22" s="6">
        <v>9.47</v>
      </c>
      <c r="E22" s="6">
        <v>5.32</v>
      </c>
      <c r="F22" s="6">
        <v>2.16</v>
      </c>
      <c r="G22" s="6">
        <v>4.5</v>
      </c>
      <c r="H22" s="6">
        <v>7.39</v>
      </c>
      <c r="I22" s="6">
        <v>4.31</v>
      </c>
      <c r="J22" s="6">
        <v>3.71</v>
      </c>
      <c r="K22" s="6">
        <v>5.3</v>
      </c>
      <c r="L22" s="6">
        <v>2.27</v>
      </c>
      <c r="M22" s="6">
        <v>2.9</v>
      </c>
      <c r="N22" s="6">
        <v>2.54</v>
      </c>
      <c r="O22" s="6">
        <v>6.12</v>
      </c>
      <c r="P22" s="6">
        <v>2.62</v>
      </c>
      <c r="Q22" s="6">
        <v>7.05</v>
      </c>
      <c r="R22" s="6">
        <v>4.51</v>
      </c>
      <c r="S22" s="6">
        <v>9.31</v>
      </c>
      <c r="T22" s="6">
        <v>5.21</v>
      </c>
      <c r="U22" s="6">
        <v>6.24</v>
      </c>
      <c r="V22" s="5" t="s">
        <v>48</v>
      </c>
    </row>
    <row r="23" ht="15.75" customHeight="1">
      <c r="A23" s="5" t="s">
        <v>69</v>
      </c>
      <c r="B23" s="6">
        <v>16.68</v>
      </c>
      <c r="C23" s="6">
        <v>16.26</v>
      </c>
      <c r="D23" s="6">
        <v>16.76</v>
      </c>
      <c r="E23" s="6">
        <v>15.43</v>
      </c>
      <c r="F23" s="6">
        <v>14.86</v>
      </c>
      <c r="G23" s="6">
        <v>15.28</v>
      </c>
      <c r="H23" s="6">
        <v>15.87</v>
      </c>
      <c r="I23" s="6">
        <v>17.64</v>
      </c>
      <c r="J23" s="6">
        <v>16.01</v>
      </c>
      <c r="K23" s="6">
        <v>16.68</v>
      </c>
      <c r="L23" s="6">
        <v>15.29</v>
      </c>
      <c r="M23" s="6">
        <v>18.48</v>
      </c>
      <c r="N23" s="6">
        <v>15.04</v>
      </c>
      <c r="O23" s="6">
        <v>18.7</v>
      </c>
      <c r="P23" s="6">
        <v>14.31</v>
      </c>
      <c r="Q23" s="6">
        <v>15.38</v>
      </c>
      <c r="R23" s="6">
        <v>15.13</v>
      </c>
      <c r="S23" s="6">
        <v>16.13</v>
      </c>
      <c r="T23" s="6">
        <v>17.55</v>
      </c>
      <c r="U23" s="6">
        <v>17.62</v>
      </c>
      <c r="V23" s="5" t="s">
        <v>48</v>
      </c>
    </row>
    <row r="24" ht="15.75" customHeight="1">
      <c r="A24" s="5" t="s">
        <v>70</v>
      </c>
      <c r="B24" s="6">
        <v>10.76</v>
      </c>
      <c r="C24" s="6">
        <v>11.82</v>
      </c>
      <c r="D24" s="6">
        <v>5.93</v>
      </c>
      <c r="E24" s="6">
        <v>7.51</v>
      </c>
      <c r="F24" s="6">
        <v>1.23</v>
      </c>
      <c r="G24" s="6">
        <v>16.78</v>
      </c>
      <c r="H24" s="6">
        <v>11.93</v>
      </c>
      <c r="I24" s="6">
        <v>4.85</v>
      </c>
      <c r="J24" s="6">
        <v>-2.44</v>
      </c>
      <c r="K24" s="6">
        <v>8.89</v>
      </c>
      <c r="L24" s="6">
        <v>2.24</v>
      </c>
      <c r="M24" s="6">
        <v>-12.02</v>
      </c>
      <c r="N24" s="6">
        <v>0.31</v>
      </c>
      <c r="O24" s="6">
        <v>13.41</v>
      </c>
      <c r="P24" s="6">
        <v>9.08</v>
      </c>
      <c r="Q24" s="6">
        <v>9.56</v>
      </c>
      <c r="R24" s="6">
        <v>7.19</v>
      </c>
      <c r="S24" s="6">
        <v>0.51</v>
      </c>
      <c r="T24" s="6">
        <v>5.88</v>
      </c>
      <c r="U24" s="6">
        <v>4.66</v>
      </c>
      <c r="V24" s="5" t="s">
        <v>48</v>
      </c>
    </row>
    <row r="25" ht="15.75" customHeight="1">
      <c r="A25" s="5" t="s">
        <v>71</v>
      </c>
      <c r="B25" s="6">
        <v>6.29</v>
      </c>
      <c r="C25" s="6">
        <v>6.56</v>
      </c>
      <c r="D25" s="6">
        <v>7.26</v>
      </c>
      <c r="E25" s="6">
        <v>6.71</v>
      </c>
      <c r="F25" s="6">
        <v>5.3</v>
      </c>
      <c r="G25" s="6">
        <v>6.42</v>
      </c>
      <c r="H25" s="6">
        <v>5.63</v>
      </c>
      <c r="I25" s="6">
        <v>5.02</v>
      </c>
      <c r="J25" s="6">
        <v>3.17</v>
      </c>
      <c r="K25" s="6">
        <v>5.74</v>
      </c>
      <c r="L25" s="6">
        <v>3.95</v>
      </c>
      <c r="M25" s="6">
        <v>1.89</v>
      </c>
      <c r="N25" s="6">
        <v>3.96</v>
      </c>
      <c r="O25" s="6">
        <v>6.08</v>
      </c>
      <c r="P25" s="6">
        <v>5.41</v>
      </c>
      <c r="Q25" s="6">
        <v>5.29</v>
      </c>
      <c r="R25" s="6">
        <v>5.75</v>
      </c>
      <c r="S25" s="6">
        <v>4.81</v>
      </c>
      <c r="T25" s="6">
        <v>5.22</v>
      </c>
      <c r="U25" s="6">
        <v>7.31</v>
      </c>
      <c r="V25" s="5" t="s">
        <v>48</v>
      </c>
    </row>
    <row r="26" ht="15.75" customHeight="1">
      <c r="A26" s="5" t="s">
        <v>72</v>
      </c>
      <c r="B26" s="6">
        <v>6.44</v>
      </c>
      <c r="C26" s="6">
        <v>6.86</v>
      </c>
      <c r="D26" s="6">
        <v>7.22</v>
      </c>
      <c r="E26" s="6">
        <v>6.66</v>
      </c>
      <c r="F26" s="6">
        <v>5.28</v>
      </c>
      <c r="G26" s="6">
        <v>6.96</v>
      </c>
      <c r="H26" s="6">
        <v>5.9</v>
      </c>
      <c r="I26" s="6">
        <v>5.03</v>
      </c>
      <c r="J26" s="6">
        <v>2.94</v>
      </c>
      <c r="K26" s="6">
        <v>6.0</v>
      </c>
      <c r="L26" s="6">
        <v>3.93</v>
      </c>
      <c r="M26" s="6">
        <v>1.6</v>
      </c>
      <c r="N26" s="6">
        <v>3.89</v>
      </c>
      <c r="O26" s="6">
        <v>6.33</v>
      </c>
      <c r="P26" s="6">
        <v>5.53</v>
      </c>
      <c r="Q26" s="6">
        <v>5.53</v>
      </c>
      <c r="R26" s="6">
        <v>5.77</v>
      </c>
      <c r="S26" s="6">
        <v>4.71</v>
      </c>
      <c r="T26" s="6">
        <v>5.3</v>
      </c>
      <c r="U26" s="6">
        <v>7.21</v>
      </c>
      <c r="V26" s="5" t="s">
        <v>48</v>
      </c>
    </row>
    <row r="27" ht="15.75" customHeight="1">
      <c r="A27" s="5" t="s">
        <v>73</v>
      </c>
      <c r="B27" s="6">
        <v>4.8</v>
      </c>
      <c r="C27" s="6">
        <v>6.48</v>
      </c>
      <c r="D27" s="6">
        <v>4.69</v>
      </c>
      <c r="E27" s="6">
        <v>4.89</v>
      </c>
      <c r="F27" s="6">
        <v>0.93</v>
      </c>
      <c r="G27" s="6">
        <v>3.89</v>
      </c>
      <c r="H27" s="6">
        <v>4.49</v>
      </c>
      <c r="I27" s="6">
        <v>3.18</v>
      </c>
      <c r="J27" s="6">
        <v>-1.01</v>
      </c>
      <c r="K27" s="6">
        <v>4.19</v>
      </c>
      <c r="L27" s="6">
        <v>0.97</v>
      </c>
      <c r="M27" s="6">
        <v>-2.18</v>
      </c>
      <c r="N27" s="6">
        <v>0.32</v>
      </c>
      <c r="O27" s="6">
        <v>4.65</v>
      </c>
      <c r="P27" s="6">
        <v>2.08</v>
      </c>
      <c r="Q27" s="6">
        <v>3.76</v>
      </c>
      <c r="R27" s="6">
        <v>2.89</v>
      </c>
      <c r="S27" s="6">
        <v>2.3</v>
      </c>
      <c r="T27" s="6">
        <v>2.41</v>
      </c>
      <c r="U27" s="6">
        <v>4.49</v>
      </c>
      <c r="V27" s="5" t="s">
        <v>48</v>
      </c>
    </row>
    <row r="28" ht="15.75" customHeight="1">
      <c r="A28" s="5" t="s">
        <v>74</v>
      </c>
      <c r="B28" s="6">
        <v>6.21</v>
      </c>
      <c r="C28" s="6">
        <v>7.13</v>
      </c>
      <c r="D28" s="6">
        <v>5.34</v>
      </c>
      <c r="E28" s="6">
        <v>4.78</v>
      </c>
      <c r="F28" s="6">
        <v>0.29</v>
      </c>
      <c r="G28" s="6">
        <v>6.54</v>
      </c>
      <c r="H28" s="6">
        <v>5.87</v>
      </c>
      <c r="I28" s="6">
        <v>3.85</v>
      </c>
      <c r="J28" s="6">
        <v>-0.88</v>
      </c>
      <c r="K28" s="6">
        <v>4.74</v>
      </c>
      <c r="L28" s="6">
        <v>1.49</v>
      </c>
      <c r="M28" s="6">
        <v>-2.31</v>
      </c>
      <c r="N28" s="6">
        <v>0.3</v>
      </c>
      <c r="O28" s="6">
        <v>6.21</v>
      </c>
      <c r="P28" s="6">
        <v>3.12</v>
      </c>
      <c r="Q28" s="6">
        <v>5.06</v>
      </c>
      <c r="R28" s="6">
        <v>3.72</v>
      </c>
      <c r="S28" s="6">
        <v>2.56</v>
      </c>
      <c r="T28" s="6">
        <v>3.28</v>
      </c>
      <c r="U28" s="6">
        <v>4.0</v>
      </c>
      <c r="V28" s="5" t="s">
        <v>48</v>
      </c>
    </row>
    <row r="29" ht="15.75" customHeight="1">
      <c r="A29" s="5" t="s">
        <v>75</v>
      </c>
      <c r="B29" s="6">
        <v>12.17</v>
      </c>
      <c r="C29" s="6">
        <v>13.81</v>
      </c>
      <c r="D29" s="6">
        <v>9.56</v>
      </c>
      <c r="E29" s="6">
        <v>9.29</v>
      </c>
      <c r="F29" s="6">
        <v>4.6</v>
      </c>
      <c r="G29" s="6">
        <v>11.22</v>
      </c>
      <c r="H29" s="6">
        <v>10.49</v>
      </c>
      <c r="I29" s="6">
        <v>9.92</v>
      </c>
      <c r="J29" s="6">
        <v>4.03</v>
      </c>
      <c r="K29" s="6">
        <v>10.16</v>
      </c>
      <c r="L29" s="6">
        <v>6.21</v>
      </c>
      <c r="M29" s="6">
        <v>5.34</v>
      </c>
      <c r="N29" s="6">
        <v>4.61</v>
      </c>
      <c r="O29" s="6">
        <v>14.19</v>
      </c>
      <c r="P29" s="6">
        <v>7.33</v>
      </c>
      <c r="Q29" s="6">
        <v>9.73</v>
      </c>
      <c r="R29" s="6">
        <v>7.91</v>
      </c>
      <c r="S29" s="6">
        <v>6.24</v>
      </c>
      <c r="T29" s="6">
        <v>9.28</v>
      </c>
      <c r="U29" s="6">
        <v>8.87</v>
      </c>
      <c r="V29" s="5" t="s">
        <v>48</v>
      </c>
    </row>
    <row r="30" ht="15.75" customHeight="1">
      <c r="A30" s="5" t="s">
        <v>76</v>
      </c>
      <c r="B30" s="6">
        <v>10.59</v>
      </c>
      <c r="C30" s="6">
        <v>12.66</v>
      </c>
      <c r="D30" s="6">
        <v>6.7</v>
      </c>
      <c r="E30" s="6">
        <v>7.12</v>
      </c>
      <c r="F30" s="6">
        <v>1.4</v>
      </c>
      <c r="G30" s="6">
        <v>12.02</v>
      </c>
      <c r="H30" s="6">
        <v>10.36</v>
      </c>
      <c r="I30" s="6">
        <v>5.64</v>
      </c>
      <c r="J30" s="6">
        <v>-1.18</v>
      </c>
      <c r="K30" s="6">
        <v>8.41</v>
      </c>
      <c r="L30" s="6">
        <v>3.0</v>
      </c>
      <c r="M30" s="6">
        <v>-2.61</v>
      </c>
      <c r="N30" s="6">
        <v>1.57</v>
      </c>
      <c r="O30" s="6">
        <v>11.43</v>
      </c>
      <c r="P30" s="6">
        <v>10.71</v>
      </c>
      <c r="Q30" s="6">
        <v>9.51</v>
      </c>
      <c r="R30" s="6">
        <v>6.1</v>
      </c>
      <c r="S30" s="6">
        <v>3.07</v>
      </c>
      <c r="T30" s="6">
        <v>6.25</v>
      </c>
      <c r="U30" s="6">
        <v>5.23</v>
      </c>
      <c r="V30" s="5" t="s">
        <v>48</v>
      </c>
    </row>
    <row r="31" ht="15.75" customHeight="1">
      <c r="A31" s="5" t="s">
        <v>77</v>
      </c>
      <c r="B31" s="6">
        <v>8.87</v>
      </c>
      <c r="C31" s="6">
        <v>11.43</v>
      </c>
      <c r="D31" s="6">
        <v>10.74</v>
      </c>
      <c r="E31" s="6">
        <v>7.16</v>
      </c>
      <c r="F31" s="6">
        <v>-2.31</v>
      </c>
      <c r="G31" s="6">
        <v>6.83</v>
      </c>
      <c r="H31" s="6">
        <v>8.56</v>
      </c>
      <c r="I31" s="6">
        <v>5.45</v>
      </c>
      <c r="J31" s="6">
        <v>-2.28</v>
      </c>
      <c r="K31" s="6">
        <v>5.29</v>
      </c>
      <c r="L31" s="6">
        <v>0.1</v>
      </c>
      <c r="M31" s="6">
        <v>-1.64</v>
      </c>
      <c r="N31" s="6">
        <v>-1.11</v>
      </c>
      <c r="O31" s="6">
        <v>7.53</v>
      </c>
      <c r="P31" s="6">
        <v>0.98</v>
      </c>
      <c r="Q31" s="6">
        <v>2.82</v>
      </c>
      <c r="R31" s="6">
        <v>5.19</v>
      </c>
      <c r="S31" s="6">
        <v>11.21</v>
      </c>
      <c r="T31" s="6">
        <v>2.98</v>
      </c>
      <c r="U31" s="6">
        <v>6.43</v>
      </c>
      <c r="V31" s="5" t="s">
        <v>48</v>
      </c>
    </row>
    <row r="32" ht="15.75" customHeight="1">
      <c r="A32" s="5" t="s">
        <v>78</v>
      </c>
      <c r="B32" s="6">
        <v>10.76</v>
      </c>
      <c r="C32" s="6">
        <v>12.27</v>
      </c>
      <c r="D32" s="6">
        <v>5.67</v>
      </c>
      <c r="E32" s="6">
        <v>6.95</v>
      </c>
      <c r="F32" s="6">
        <v>-0.11</v>
      </c>
      <c r="G32" s="6">
        <v>16.63</v>
      </c>
      <c r="H32" s="6">
        <v>11.43</v>
      </c>
      <c r="I32" s="6">
        <v>4.32</v>
      </c>
      <c r="J32" s="6">
        <v>-2.96</v>
      </c>
      <c r="K32" s="6">
        <v>8.53</v>
      </c>
      <c r="L32" s="6">
        <v>1.4</v>
      </c>
      <c r="M32" s="6">
        <v>-11.36</v>
      </c>
      <c r="N32" s="6">
        <v>0.1</v>
      </c>
      <c r="O32" s="6">
        <v>13.11</v>
      </c>
      <c r="P32" s="6">
        <v>8.82</v>
      </c>
      <c r="Q32" s="6">
        <v>9.36</v>
      </c>
      <c r="R32" s="6">
        <v>6.64</v>
      </c>
      <c r="S32" s="6">
        <v>1.33</v>
      </c>
      <c r="T32" s="6">
        <v>5.95</v>
      </c>
      <c r="U32" s="6">
        <v>4.67</v>
      </c>
      <c r="V32" s="5" t="s">
        <v>48</v>
      </c>
    </row>
    <row r="33" ht="15.75" customHeight="1">
      <c r="A33" s="5" t="s">
        <v>79</v>
      </c>
      <c r="B33" s="6">
        <v>6.64</v>
      </c>
      <c r="C33" s="6">
        <v>7.53</v>
      </c>
      <c r="D33" s="6">
        <v>4.22</v>
      </c>
      <c r="E33" s="6">
        <v>4.27</v>
      </c>
      <c r="F33" s="6">
        <v>-0.41</v>
      </c>
      <c r="G33" s="6">
        <v>9.74</v>
      </c>
      <c r="H33" s="6">
        <v>7.1</v>
      </c>
      <c r="I33" s="6">
        <v>3.01</v>
      </c>
      <c r="J33" s="6">
        <v>-1.78</v>
      </c>
      <c r="K33" s="6">
        <v>5.14</v>
      </c>
      <c r="L33" s="6">
        <v>0.89</v>
      </c>
      <c r="M33" s="6">
        <v>-6.37</v>
      </c>
      <c r="N33" s="6">
        <v>-0.8</v>
      </c>
      <c r="O33" s="6">
        <v>7.7</v>
      </c>
      <c r="P33" s="6">
        <v>4.58</v>
      </c>
      <c r="Q33" s="6">
        <v>5.32</v>
      </c>
      <c r="R33" s="6">
        <v>3.93</v>
      </c>
      <c r="S33" s="6">
        <v>0.41</v>
      </c>
      <c r="T33" s="6">
        <v>3.57</v>
      </c>
      <c r="U33" s="6">
        <v>3.01</v>
      </c>
      <c r="V33" s="5" t="s">
        <v>48</v>
      </c>
    </row>
    <row r="34" ht="15.75" customHeight="1">
      <c r="A34" s="5" t="s">
        <v>80</v>
      </c>
      <c r="B34" s="6">
        <v>5.94</v>
      </c>
      <c r="C34" s="6">
        <v>6.75</v>
      </c>
      <c r="D34" s="6">
        <v>7.37</v>
      </c>
      <c r="E34" s="6">
        <v>5.63</v>
      </c>
      <c r="F34" s="6">
        <v>4.73</v>
      </c>
      <c r="G34" s="6">
        <v>5.65</v>
      </c>
      <c r="H34" s="6">
        <v>6.41</v>
      </c>
      <c r="I34" s="6">
        <v>6.23</v>
      </c>
      <c r="J34" s="6">
        <v>5.33</v>
      </c>
      <c r="K34" s="6">
        <v>6.34</v>
      </c>
      <c r="L34" s="6">
        <v>5.08</v>
      </c>
      <c r="M34" s="6">
        <v>5.04</v>
      </c>
      <c r="N34" s="6">
        <v>5.14</v>
      </c>
      <c r="O34" s="6">
        <v>6.09</v>
      </c>
      <c r="P34" s="6">
        <v>4.58</v>
      </c>
      <c r="Q34" s="6">
        <v>5.89</v>
      </c>
      <c r="R34" s="6">
        <v>5.66</v>
      </c>
      <c r="S34" s="6">
        <v>7.2</v>
      </c>
      <c r="T34" s="6">
        <v>6.36</v>
      </c>
      <c r="U34" s="6">
        <v>7.34</v>
      </c>
      <c r="V34" s="5" t="s">
        <v>48</v>
      </c>
    </row>
    <row r="35" ht="15.75" customHeight="1">
      <c r="A35" s="5" t="s">
        <v>81</v>
      </c>
      <c r="B35" s="6">
        <v>5.94</v>
      </c>
      <c r="C35" s="6">
        <v>7.0</v>
      </c>
      <c r="D35" s="6">
        <v>8.87</v>
      </c>
      <c r="E35" s="6">
        <v>6.38</v>
      </c>
      <c r="F35" s="6">
        <v>6.23</v>
      </c>
      <c r="G35" s="6">
        <v>5.65</v>
      </c>
      <c r="H35" s="6">
        <v>6.91</v>
      </c>
      <c r="I35" s="6">
        <v>6.98</v>
      </c>
      <c r="J35" s="6">
        <v>5.58</v>
      </c>
      <c r="K35" s="6">
        <v>6.84</v>
      </c>
      <c r="L35" s="6">
        <v>5.83</v>
      </c>
      <c r="M35" s="6">
        <v>6.54</v>
      </c>
      <c r="N35" s="6">
        <v>6.39</v>
      </c>
      <c r="O35" s="6">
        <v>6.34</v>
      </c>
      <c r="P35" s="6">
        <v>5.08</v>
      </c>
      <c r="Q35" s="6">
        <v>6.14</v>
      </c>
      <c r="R35" s="6">
        <v>5.91</v>
      </c>
      <c r="S35" s="6">
        <v>9.2</v>
      </c>
      <c r="T35" s="6">
        <v>6.86</v>
      </c>
      <c r="U35" s="6">
        <v>9.09</v>
      </c>
      <c r="V35" s="5" t="s">
        <v>48</v>
      </c>
    </row>
    <row r="36" ht="15.75" customHeight="1">
      <c r="A36" s="7" t="s">
        <v>82</v>
      </c>
      <c r="B36" s="8">
        <v>11.44</v>
      </c>
      <c r="C36" s="8">
        <v>12.79</v>
      </c>
      <c r="D36" s="8">
        <v>12.59</v>
      </c>
      <c r="E36" s="8">
        <v>10.73</v>
      </c>
      <c r="F36" s="8">
        <v>9.32</v>
      </c>
      <c r="G36" s="8">
        <v>11.59</v>
      </c>
      <c r="H36" s="8">
        <v>11.61</v>
      </c>
      <c r="I36" s="8">
        <v>11.26</v>
      </c>
      <c r="J36" s="8">
        <v>9.1</v>
      </c>
      <c r="K36" s="8">
        <v>11.2</v>
      </c>
      <c r="L36" s="8">
        <v>9.04</v>
      </c>
      <c r="M36" s="8">
        <v>8.4</v>
      </c>
      <c r="N36" s="8">
        <v>8.95</v>
      </c>
      <c r="O36" s="8">
        <v>11.49</v>
      </c>
      <c r="P36" s="8">
        <v>9.87</v>
      </c>
      <c r="Q36" s="8">
        <v>10.95</v>
      </c>
      <c r="R36" s="8">
        <v>10.3</v>
      </c>
      <c r="S36" s="8">
        <v>11.34</v>
      </c>
      <c r="T36" s="8">
        <v>10.43</v>
      </c>
      <c r="U36" s="8">
        <v>11.91</v>
      </c>
      <c r="V36" s="5" t="s">
        <v>83</v>
      </c>
    </row>
    <row r="37" ht="15.75" customHeight="1">
      <c r="A37" s="7" t="s">
        <v>84</v>
      </c>
      <c r="B37" s="8">
        <v>10.75</v>
      </c>
      <c r="C37" s="8">
        <v>11.79</v>
      </c>
      <c r="D37" s="8">
        <v>11.93</v>
      </c>
      <c r="E37" s="8">
        <v>10.1</v>
      </c>
      <c r="F37" s="8">
        <v>8.05</v>
      </c>
      <c r="G37" s="8">
        <v>11.32</v>
      </c>
      <c r="H37" s="8">
        <v>10.82</v>
      </c>
      <c r="I37" s="8">
        <v>10.43</v>
      </c>
      <c r="J37" s="8">
        <v>7.84</v>
      </c>
      <c r="K37" s="8">
        <v>10.1</v>
      </c>
      <c r="L37" s="8">
        <v>7.71</v>
      </c>
      <c r="M37" s="8">
        <v>7.08</v>
      </c>
      <c r="N37" s="8">
        <v>7.81</v>
      </c>
      <c r="O37" s="8">
        <v>10.87</v>
      </c>
      <c r="P37" s="8">
        <v>9.22</v>
      </c>
      <c r="Q37" s="8">
        <v>9.97</v>
      </c>
      <c r="R37" s="8">
        <v>9.43</v>
      </c>
      <c r="S37" s="8">
        <v>10.3</v>
      </c>
      <c r="T37" s="8">
        <v>9.37</v>
      </c>
      <c r="U37" s="8">
        <v>11.36</v>
      </c>
      <c r="V37" s="5" t="s">
        <v>83</v>
      </c>
    </row>
    <row r="38" ht="15.75" customHeight="1">
      <c r="A38" s="7" t="s">
        <v>85</v>
      </c>
      <c r="B38" s="8">
        <v>8.62</v>
      </c>
      <c r="C38" s="8">
        <v>9.72</v>
      </c>
      <c r="D38" s="8">
        <v>8.71</v>
      </c>
      <c r="E38" s="8">
        <v>7.68</v>
      </c>
      <c r="F38" s="8">
        <v>5.34</v>
      </c>
      <c r="G38" s="8">
        <v>9.64</v>
      </c>
      <c r="H38" s="8">
        <v>8.59</v>
      </c>
      <c r="I38" s="8">
        <v>7.55</v>
      </c>
      <c r="J38" s="8">
        <v>3.72</v>
      </c>
      <c r="K38" s="8">
        <v>7.79</v>
      </c>
      <c r="L38" s="8">
        <v>5.0</v>
      </c>
      <c r="M38" s="8">
        <v>2.31</v>
      </c>
      <c r="N38" s="8">
        <v>4.38</v>
      </c>
      <c r="O38" s="8">
        <v>8.57</v>
      </c>
      <c r="P38" s="8">
        <v>7.05</v>
      </c>
      <c r="Q38" s="8">
        <v>7.82</v>
      </c>
      <c r="R38" s="8">
        <v>6.84</v>
      </c>
      <c r="S38" s="8">
        <v>6.2</v>
      </c>
      <c r="T38" s="8">
        <v>6.44</v>
      </c>
      <c r="U38" s="8">
        <v>7.68</v>
      </c>
      <c r="V38" s="5" t="s">
        <v>83</v>
      </c>
    </row>
    <row r="39" ht="15.75" customHeight="1">
      <c r="A39" s="7" t="s">
        <v>86</v>
      </c>
      <c r="B39" s="8">
        <v>10.25</v>
      </c>
      <c r="C39" s="8">
        <v>11.48</v>
      </c>
      <c r="D39" s="8">
        <v>7.71</v>
      </c>
      <c r="E39" s="8">
        <v>7.36</v>
      </c>
      <c r="F39" s="8">
        <v>1.95</v>
      </c>
      <c r="G39" s="8">
        <v>12.04</v>
      </c>
      <c r="H39" s="8">
        <v>9.53</v>
      </c>
      <c r="I39" s="8">
        <v>6.71</v>
      </c>
      <c r="J39" s="8">
        <v>1.39</v>
      </c>
      <c r="K39" s="8">
        <v>8.33</v>
      </c>
      <c r="L39" s="8">
        <v>4.51</v>
      </c>
      <c r="M39" s="8">
        <v>-0.31</v>
      </c>
      <c r="N39" s="8">
        <v>2.41</v>
      </c>
      <c r="O39" s="8">
        <v>9.89</v>
      </c>
      <c r="P39" s="8">
        <v>7.32</v>
      </c>
      <c r="Q39" s="8">
        <v>8.46</v>
      </c>
      <c r="R39" s="8">
        <v>7.12</v>
      </c>
      <c r="S39" s="8">
        <v>5.22</v>
      </c>
      <c r="T39" s="8">
        <v>6.69</v>
      </c>
      <c r="U39" s="8">
        <v>6.03</v>
      </c>
      <c r="V39" s="5" t="s">
        <v>83</v>
      </c>
    </row>
    <row r="40" ht="15.75" customHeight="1">
      <c r="A40" s="7" t="s">
        <v>87</v>
      </c>
      <c r="B40" s="8">
        <v>4.28</v>
      </c>
      <c r="C40" s="8">
        <v>5.08</v>
      </c>
      <c r="D40" s="8">
        <v>7.8</v>
      </c>
      <c r="E40" s="8">
        <v>5.27</v>
      </c>
      <c r="F40" s="8">
        <v>6.03</v>
      </c>
      <c r="G40" s="8">
        <v>3.74</v>
      </c>
      <c r="H40" s="8">
        <v>5.3</v>
      </c>
      <c r="I40" s="8">
        <v>6.04</v>
      </c>
      <c r="J40" s="8">
        <v>5.16</v>
      </c>
      <c r="K40" s="8">
        <v>5.67</v>
      </c>
      <c r="L40" s="8">
        <v>5.25</v>
      </c>
      <c r="M40" s="8">
        <v>6.21</v>
      </c>
      <c r="N40" s="8">
        <v>5.86</v>
      </c>
      <c r="O40" s="8">
        <v>4.53</v>
      </c>
      <c r="P40" s="8">
        <v>3.93</v>
      </c>
      <c r="Q40" s="8">
        <v>4.74</v>
      </c>
      <c r="R40" s="8">
        <v>4.91</v>
      </c>
      <c r="S40" s="8">
        <v>8.45</v>
      </c>
      <c r="T40" s="8">
        <v>5.9</v>
      </c>
      <c r="U40" s="8">
        <v>8.28</v>
      </c>
      <c r="V40" s="5" t="s">
        <v>83</v>
      </c>
    </row>
    <row r="41" ht="15.75" customHeight="1">
      <c r="A41" s="7" t="s">
        <v>88</v>
      </c>
      <c r="B41" s="8">
        <v>6.09</v>
      </c>
      <c r="C41" s="8">
        <v>6.87</v>
      </c>
      <c r="D41" s="8">
        <v>8.99</v>
      </c>
      <c r="E41" s="8">
        <v>6.77</v>
      </c>
      <c r="F41" s="8">
        <v>6.73</v>
      </c>
      <c r="G41" s="8">
        <v>5.95</v>
      </c>
      <c r="H41" s="8">
        <v>7.02</v>
      </c>
      <c r="I41" s="8">
        <v>7.22</v>
      </c>
      <c r="J41" s="8">
        <v>5.65</v>
      </c>
      <c r="K41" s="8">
        <v>6.95</v>
      </c>
      <c r="L41" s="8">
        <v>6.12</v>
      </c>
      <c r="M41" s="8">
        <v>6.43</v>
      </c>
      <c r="N41" s="8">
        <v>6.6</v>
      </c>
      <c r="O41" s="8">
        <v>6.38</v>
      </c>
      <c r="P41" s="8">
        <v>5.56</v>
      </c>
      <c r="Q41" s="8">
        <v>6.26</v>
      </c>
      <c r="R41" s="8">
        <v>6.2</v>
      </c>
      <c r="S41" s="8">
        <v>9.05</v>
      </c>
      <c r="T41" s="8">
        <v>6.98</v>
      </c>
      <c r="U41" s="8">
        <v>9.25</v>
      </c>
      <c r="V41" s="5" t="s">
        <v>83</v>
      </c>
    </row>
    <row r="42" ht="15.75" customHeight="1">
      <c r="A42" s="7" t="s">
        <v>89</v>
      </c>
      <c r="B42" s="8">
        <v>5.69</v>
      </c>
      <c r="C42" s="8">
        <v>7.34</v>
      </c>
      <c r="D42" s="8">
        <v>5.11</v>
      </c>
      <c r="E42" s="8">
        <v>5.06</v>
      </c>
      <c r="F42" s="8">
        <v>-0.15</v>
      </c>
      <c r="G42" s="8">
        <v>5.32</v>
      </c>
      <c r="H42" s="8">
        <v>5.45</v>
      </c>
      <c r="I42" s="8">
        <v>3.58</v>
      </c>
      <c r="J42" s="8">
        <v>0.15</v>
      </c>
      <c r="K42" s="8">
        <v>4.92</v>
      </c>
      <c r="L42" s="8">
        <v>0.69</v>
      </c>
      <c r="M42" s="8">
        <v>-0.84</v>
      </c>
      <c r="N42" s="8">
        <v>0.78</v>
      </c>
      <c r="O42" s="8">
        <v>5.47</v>
      </c>
      <c r="P42" s="8">
        <v>3.0</v>
      </c>
      <c r="Q42" s="8">
        <v>4.85</v>
      </c>
      <c r="R42" s="8">
        <v>4.26</v>
      </c>
      <c r="S42" s="8">
        <v>4.07</v>
      </c>
      <c r="T42" s="8">
        <v>3.92</v>
      </c>
      <c r="U42" s="8">
        <v>4.08</v>
      </c>
      <c r="V42" s="5" t="s">
        <v>83</v>
      </c>
    </row>
    <row r="43" ht="15.75" customHeight="1">
      <c r="A43" s="7" t="s">
        <v>90</v>
      </c>
      <c r="B43" s="8">
        <v>3.72</v>
      </c>
      <c r="C43" s="8">
        <v>4.95</v>
      </c>
      <c r="D43" s="8">
        <v>4.18</v>
      </c>
      <c r="E43" s="8">
        <v>3.98</v>
      </c>
      <c r="F43" s="8">
        <v>1.02</v>
      </c>
      <c r="G43" s="8">
        <v>3.36</v>
      </c>
      <c r="H43" s="8">
        <v>3.89</v>
      </c>
      <c r="I43" s="8">
        <v>3.05</v>
      </c>
      <c r="J43" s="8">
        <v>1.33</v>
      </c>
      <c r="K43" s="8">
        <v>3.95</v>
      </c>
      <c r="L43" s="8">
        <v>1.0</v>
      </c>
      <c r="M43" s="8">
        <v>0.56</v>
      </c>
      <c r="N43" s="8">
        <v>1.62</v>
      </c>
      <c r="O43" s="8">
        <v>3.41</v>
      </c>
      <c r="P43" s="8">
        <v>2.35</v>
      </c>
      <c r="Q43" s="8">
        <v>3.5</v>
      </c>
      <c r="R43" s="8">
        <v>3.66</v>
      </c>
      <c r="S43" s="8">
        <v>3.98</v>
      </c>
      <c r="T43" s="8">
        <v>3.69</v>
      </c>
      <c r="U43" s="8">
        <v>3.89</v>
      </c>
      <c r="V43" s="5" t="s">
        <v>83</v>
      </c>
    </row>
    <row r="44" ht="15.75" customHeight="1">
      <c r="A44" s="7" t="s">
        <v>91</v>
      </c>
      <c r="B44" s="8">
        <v>7.52</v>
      </c>
      <c r="C44" s="8">
        <v>8.48</v>
      </c>
      <c r="D44" s="8">
        <v>6.71</v>
      </c>
      <c r="E44" s="8">
        <v>6.18</v>
      </c>
      <c r="F44" s="8">
        <v>4.17</v>
      </c>
      <c r="G44" s="8">
        <v>8.74</v>
      </c>
      <c r="H44" s="8">
        <v>7.69</v>
      </c>
      <c r="I44" s="8">
        <v>6.73</v>
      </c>
      <c r="J44" s="8">
        <v>5.51</v>
      </c>
      <c r="K44" s="8">
        <v>6.92</v>
      </c>
      <c r="L44" s="8">
        <v>3.82</v>
      </c>
      <c r="M44" s="8">
        <v>1.07</v>
      </c>
      <c r="N44" s="8">
        <v>2.84</v>
      </c>
      <c r="O44" s="8">
        <v>7.76</v>
      </c>
      <c r="P44" s="8">
        <v>5.56</v>
      </c>
      <c r="Q44" s="8">
        <v>6.98</v>
      </c>
      <c r="R44" s="8">
        <v>5.57</v>
      </c>
      <c r="S44" s="8">
        <v>4.55</v>
      </c>
      <c r="T44" s="8">
        <v>5.6</v>
      </c>
      <c r="U44" s="8">
        <v>5.9</v>
      </c>
      <c r="V44" s="5" t="s">
        <v>83</v>
      </c>
    </row>
    <row r="45" ht="15.75" customHeight="1">
      <c r="A45" s="7" t="s">
        <v>92</v>
      </c>
      <c r="B45" s="8">
        <v>12.13</v>
      </c>
      <c r="C45" s="8">
        <v>12.92</v>
      </c>
      <c r="D45" s="8">
        <v>11.35</v>
      </c>
      <c r="E45" s="8">
        <v>10.91</v>
      </c>
      <c r="F45" s="8">
        <v>6.47</v>
      </c>
      <c r="G45" s="8">
        <v>14.01</v>
      </c>
      <c r="H45" s="8">
        <v>12.08</v>
      </c>
      <c r="I45" s="8">
        <v>10.16</v>
      </c>
      <c r="J45" s="8">
        <v>5.74</v>
      </c>
      <c r="K45" s="8">
        <v>11.13</v>
      </c>
      <c r="L45" s="8">
        <v>8.16</v>
      </c>
      <c r="M45" s="8">
        <v>4.17</v>
      </c>
      <c r="N45" s="8">
        <v>7.12</v>
      </c>
      <c r="O45" s="8">
        <v>13.65</v>
      </c>
      <c r="P45" s="8">
        <v>9.67</v>
      </c>
      <c r="Q45" s="8">
        <v>11.32</v>
      </c>
      <c r="R45" s="8">
        <v>10.1</v>
      </c>
      <c r="S45" s="8">
        <v>8.62</v>
      </c>
      <c r="T45" s="8">
        <v>9.77</v>
      </c>
      <c r="U45" s="8">
        <v>10.26</v>
      </c>
      <c r="V45" s="5" t="s">
        <v>83</v>
      </c>
    </row>
    <row r="46" ht="15.75" customHeight="1">
      <c r="A46" s="7" t="s">
        <v>93</v>
      </c>
      <c r="B46" s="8">
        <v>8.59</v>
      </c>
      <c r="C46" s="8">
        <v>7.89</v>
      </c>
      <c r="D46" s="8">
        <v>12.14</v>
      </c>
      <c r="E46" s="8">
        <v>10.76</v>
      </c>
      <c r="F46" s="8">
        <v>10.35</v>
      </c>
      <c r="G46" s="8">
        <v>8.46</v>
      </c>
      <c r="H46" s="8">
        <v>9.12</v>
      </c>
      <c r="I46" s="8">
        <v>10.22</v>
      </c>
      <c r="J46" s="8">
        <v>9.04</v>
      </c>
      <c r="K46" s="8">
        <v>9.64</v>
      </c>
      <c r="L46" s="8">
        <v>9.2</v>
      </c>
      <c r="M46" s="8">
        <v>8.96</v>
      </c>
      <c r="N46" s="8">
        <v>9.6</v>
      </c>
      <c r="O46" s="8">
        <v>8.5</v>
      </c>
      <c r="P46" s="8">
        <v>8.88</v>
      </c>
      <c r="Q46" s="8">
        <v>9.08</v>
      </c>
      <c r="R46" s="8">
        <v>9.21</v>
      </c>
      <c r="S46" s="8">
        <v>10.96</v>
      </c>
      <c r="T46" s="8">
        <v>10.05</v>
      </c>
      <c r="U46" s="8">
        <v>12.12</v>
      </c>
      <c r="V46" s="5" t="s">
        <v>83</v>
      </c>
    </row>
    <row r="47" ht="15.75" customHeight="1">
      <c r="A47" s="7" t="s">
        <v>94</v>
      </c>
      <c r="B47" s="8">
        <v>6.61</v>
      </c>
      <c r="C47" s="8">
        <v>7.31</v>
      </c>
      <c r="D47" s="8">
        <v>6.11</v>
      </c>
      <c r="E47" s="8">
        <v>5.53</v>
      </c>
      <c r="F47" s="8">
        <v>1.77</v>
      </c>
      <c r="G47" s="8">
        <v>7.62</v>
      </c>
      <c r="H47" s="8">
        <v>6.52</v>
      </c>
      <c r="I47" s="8">
        <v>4.82</v>
      </c>
      <c r="J47" s="8">
        <v>0.2</v>
      </c>
      <c r="K47" s="8">
        <v>5.64</v>
      </c>
      <c r="L47" s="8">
        <v>2.61</v>
      </c>
      <c r="M47" s="8">
        <v>-1.21</v>
      </c>
      <c r="N47" s="8">
        <v>1.38</v>
      </c>
      <c r="O47" s="8">
        <v>6.56</v>
      </c>
      <c r="P47" s="8">
        <v>4.23</v>
      </c>
      <c r="Q47" s="8">
        <v>5.7</v>
      </c>
      <c r="R47" s="8">
        <v>4.6</v>
      </c>
      <c r="S47" s="8">
        <v>3.46</v>
      </c>
      <c r="T47" s="8">
        <v>4.12</v>
      </c>
      <c r="U47" s="8">
        <v>4.9</v>
      </c>
      <c r="V47" s="5" t="s">
        <v>83</v>
      </c>
    </row>
    <row r="48" ht="15.75" customHeight="1">
      <c r="A48" s="9" t="s">
        <v>95</v>
      </c>
      <c r="B48" s="10">
        <v>6.2469</v>
      </c>
      <c r="C48" s="10">
        <v>7.0685</v>
      </c>
      <c r="D48" s="10">
        <v>5.8491</v>
      </c>
      <c r="E48" s="10">
        <v>5.1129</v>
      </c>
      <c r="F48" s="10">
        <v>1.2002</v>
      </c>
      <c r="G48" s="10">
        <v>6.6332</v>
      </c>
      <c r="H48" s="10">
        <v>6.0344</v>
      </c>
      <c r="I48" s="10">
        <v>4.4254</v>
      </c>
      <c r="J48" s="10">
        <v>0.0703</v>
      </c>
      <c r="K48" s="10">
        <v>5.1838</v>
      </c>
      <c r="L48" s="10">
        <v>2.2255</v>
      </c>
      <c r="M48" s="10">
        <v>-1.1866</v>
      </c>
      <c r="N48" s="10">
        <v>1.0766</v>
      </c>
      <c r="O48" s="10">
        <v>6.2072</v>
      </c>
      <c r="P48" s="10">
        <v>3.5397</v>
      </c>
      <c r="Q48" s="10">
        <v>5.2883</v>
      </c>
      <c r="R48" s="10">
        <v>4.1824</v>
      </c>
      <c r="S48" s="10">
        <v>3.4251</v>
      </c>
      <c r="T48" s="10">
        <v>3.813</v>
      </c>
      <c r="U48" s="10">
        <v>4.6587</v>
      </c>
      <c r="V48" s="5" t="s">
        <v>96</v>
      </c>
    </row>
    <row r="49" ht="15.75" customHeight="1">
      <c r="A49" s="9" t="s">
        <v>97</v>
      </c>
      <c r="B49" s="10">
        <v>27.3369</v>
      </c>
      <c r="C49" s="10">
        <v>27.8893</v>
      </c>
      <c r="D49" s="10">
        <v>25.9947</v>
      </c>
      <c r="E49" s="10">
        <v>25.143</v>
      </c>
      <c r="F49" s="10">
        <v>21.0944</v>
      </c>
      <c r="G49" s="10">
        <v>29.6287</v>
      </c>
      <c r="H49" s="10">
        <v>28.5544</v>
      </c>
      <c r="I49" s="10">
        <v>24.4563</v>
      </c>
      <c r="J49" s="10">
        <v>18.3997</v>
      </c>
      <c r="K49" s="10">
        <v>25.7196</v>
      </c>
      <c r="L49" s="10">
        <v>21.787</v>
      </c>
      <c r="M49" s="10">
        <v>17.3472</v>
      </c>
      <c r="N49" s="10">
        <v>20.5691</v>
      </c>
      <c r="O49" s="10">
        <v>27.596</v>
      </c>
      <c r="P49" s="10">
        <v>25.6203</v>
      </c>
      <c r="Q49" s="10">
        <v>27.471</v>
      </c>
      <c r="R49" s="10">
        <v>24.7241</v>
      </c>
      <c r="S49" s="10">
        <v>24.0473</v>
      </c>
      <c r="T49" s="10">
        <v>23.8859</v>
      </c>
      <c r="U49" s="10">
        <v>24.1828</v>
      </c>
      <c r="V49" s="5" t="s">
        <v>96</v>
      </c>
    </row>
    <row r="50" ht="15.75" customHeight="1">
      <c r="A50" s="5" t="s">
        <v>98</v>
      </c>
      <c r="B50" s="6">
        <v>10.734</v>
      </c>
      <c r="C50" s="6">
        <v>12.114</v>
      </c>
      <c r="D50" s="6">
        <v>8.1</v>
      </c>
      <c r="E50" s="6">
        <v>8.174</v>
      </c>
      <c r="F50" s="6">
        <v>2.86</v>
      </c>
      <c r="G50" s="6">
        <v>11.38</v>
      </c>
      <c r="H50" s="6">
        <v>9.742</v>
      </c>
      <c r="I50" s="6">
        <v>7.924</v>
      </c>
      <c r="J50" s="6">
        <v>2.234</v>
      </c>
      <c r="K50" s="6">
        <v>8.856</v>
      </c>
      <c r="L50" s="6">
        <v>4.542</v>
      </c>
      <c r="M50" s="6">
        <v>1.412</v>
      </c>
      <c r="N50" s="6">
        <v>3.098</v>
      </c>
      <c r="O50" s="6">
        <v>12.362</v>
      </c>
      <c r="P50" s="6">
        <v>7.126</v>
      </c>
      <c r="Q50" s="6">
        <v>8.782</v>
      </c>
      <c r="R50" s="6">
        <v>7.094</v>
      </c>
      <c r="S50" s="6">
        <v>4.968</v>
      </c>
      <c r="T50" s="6">
        <v>7.76</v>
      </c>
      <c r="U50" s="6">
        <v>7.758</v>
      </c>
      <c r="V50" s="5" t="s">
        <v>99</v>
      </c>
    </row>
    <row r="51" ht="15.75" customHeight="1">
      <c r="A51" s="9" t="s">
        <v>100</v>
      </c>
      <c r="B51" s="10">
        <v>7.8086</v>
      </c>
      <c r="C51" s="10">
        <v>8.8957</v>
      </c>
      <c r="D51" s="10">
        <v>6.6706</v>
      </c>
      <c r="E51" s="10">
        <v>6.0482</v>
      </c>
      <c r="F51" s="10">
        <v>1.813</v>
      </c>
      <c r="G51" s="10">
        <v>8.1997</v>
      </c>
      <c r="H51" s="10">
        <v>7.0324</v>
      </c>
      <c r="I51" s="10">
        <v>6.4047</v>
      </c>
      <c r="J51" s="10">
        <v>2.103</v>
      </c>
      <c r="K51" s="10">
        <v>6.659</v>
      </c>
      <c r="L51" s="10">
        <v>3.282</v>
      </c>
      <c r="M51" s="10">
        <v>1.9358</v>
      </c>
      <c r="N51" s="10">
        <v>2.121</v>
      </c>
      <c r="O51" s="10">
        <v>9.2606</v>
      </c>
      <c r="P51" s="10">
        <v>4.8334</v>
      </c>
      <c r="Q51" s="10">
        <v>6.099</v>
      </c>
      <c r="R51" s="10">
        <v>5.2175</v>
      </c>
      <c r="S51" s="10">
        <v>4.4896</v>
      </c>
      <c r="T51" s="10">
        <v>5.9759</v>
      </c>
      <c r="U51" s="10">
        <v>6.5984</v>
      </c>
      <c r="V51" s="5" t="s">
        <v>96</v>
      </c>
    </row>
    <row r="52" ht="15.75" customHeight="1">
      <c r="A52" s="5" t="s">
        <v>101</v>
      </c>
      <c r="B52" s="6">
        <v>8.59</v>
      </c>
      <c r="C52" s="6">
        <v>7.89</v>
      </c>
      <c r="D52" s="6">
        <v>12.14</v>
      </c>
      <c r="E52" s="6">
        <v>10.76</v>
      </c>
      <c r="F52" s="6">
        <v>10.35</v>
      </c>
      <c r="G52" s="6">
        <v>8.46</v>
      </c>
      <c r="H52" s="6">
        <v>9.12</v>
      </c>
      <c r="I52" s="6">
        <v>10.22</v>
      </c>
      <c r="J52" s="6">
        <v>9.04</v>
      </c>
      <c r="K52" s="6">
        <v>9.64</v>
      </c>
      <c r="L52" s="6">
        <v>9.2</v>
      </c>
      <c r="M52" s="6">
        <v>8.96</v>
      </c>
      <c r="N52" s="6">
        <v>9.6</v>
      </c>
      <c r="O52" s="6">
        <v>8.5</v>
      </c>
      <c r="P52" s="6">
        <v>8.88</v>
      </c>
      <c r="Q52" s="6">
        <v>9.08</v>
      </c>
      <c r="R52" s="6">
        <v>9.21</v>
      </c>
      <c r="S52" s="6">
        <v>10.96</v>
      </c>
      <c r="T52" s="6">
        <v>10.05</v>
      </c>
      <c r="U52" s="6">
        <v>12.12</v>
      </c>
      <c r="V52" s="5" t="s">
        <v>99</v>
      </c>
    </row>
    <row r="53" ht="15.75" customHeight="1">
      <c r="A53" s="9" t="s">
        <v>102</v>
      </c>
      <c r="B53" s="10">
        <v>7.8329</v>
      </c>
      <c r="C53" s="10">
        <v>8.9741</v>
      </c>
      <c r="D53" s="10">
        <v>6.4169</v>
      </c>
      <c r="E53" s="10">
        <v>6.0982</v>
      </c>
      <c r="F53" s="10">
        <v>3.3649</v>
      </c>
      <c r="G53" s="10">
        <v>9.3865</v>
      </c>
      <c r="H53" s="10">
        <v>7.9093</v>
      </c>
      <c r="I53" s="10">
        <v>6.3781</v>
      </c>
      <c r="J53" s="10">
        <v>4.1722</v>
      </c>
      <c r="K53" s="10">
        <v>6.9522</v>
      </c>
      <c r="L53" s="10">
        <v>3.2178</v>
      </c>
      <c r="M53" s="10">
        <v>-0.5245</v>
      </c>
      <c r="N53" s="10">
        <v>1.9164</v>
      </c>
      <c r="O53" s="10">
        <v>8.1115</v>
      </c>
      <c r="P53" s="10">
        <v>5.4146</v>
      </c>
      <c r="Q53" s="10">
        <v>7.1521</v>
      </c>
      <c r="R53" s="10">
        <v>5.3216</v>
      </c>
      <c r="S53" s="10">
        <v>3.7067</v>
      </c>
      <c r="T53" s="10">
        <v>5.1787</v>
      </c>
      <c r="U53" s="10">
        <v>5.277</v>
      </c>
      <c r="V53" s="5" t="s">
        <v>96</v>
      </c>
    </row>
    <row r="54" ht="15.75" customHeight="1">
      <c r="A54" s="5" t="s">
        <v>103</v>
      </c>
      <c r="B54" s="6">
        <v>11.0543</v>
      </c>
      <c r="C54" s="6">
        <v>12.2916</v>
      </c>
      <c r="D54" s="6">
        <v>11.043</v>
      </c>
      <c r="E54" s="6">
        <v>9.8431</v>
      </c>
      <c r="F54" s="6">
        <v>6.9067</v>
      </c>
      <c r="G54" s="6">
        <v>12.0928</v>
      </c>
      <c r="H54" s="6">
        <v>10.9926</v>
      </c>
      <c r="I54" s="6">
        <v>9.7064</v>
      </c>
      <c r="J54" s="6">
        <v>5.8116</v>
      </c>
      <c r="K54" s="6">
        <v>9.934</v>
      </c>
      <c r="L54" s="6">
        <v>6.8346</v>
      </c>
      <c r="M54" s="6">
        <v>4.529</v>
      </c>
      <c r="N54" s="6">
        <v>6.3449</v>
      </c>
      <c r="O54" s="6">
        <v>11.1553</v>
      </c>
      <c r="P54" s="6">
        <v>9.2088</v>
      </c>
      <c r="Q54" s="6">
        <v>10.0715</v>
      </c>
      <c r="R54" s="6">
        <v>8.9362</v>
      </c>
      <c r="S54" s="6">
        <v>8.5934</v>
      </c>
      <c r="T54" s="6">
        <v>8.6083</v>
      </c>
      <c r="U54" s="6">
        <v>9.9842</v>
      </c>
      <c r="V54" s="5" t="s">
        <v>99</v>
      </c>
    </row>
    <row r="55" ht="15.75" customHeight="1">
      <c r="A55" s="9" t="s">
        <v>104</v>
      </c>
      <c r="B55" s="10">
        <v>4.4915</v>
      </c>
      <c r="C55" s="10">
        <v>3.8504</v>
      </c>
      <c r="D55" s="10">
        <v>5.0941</v>
      </c>
      <c r="E55" s="10">
        <v>4.6288</v>
      </c>
      <c r="F55" s="10">
        <v>5.7144</v>
      </c>
      <c r="G55" s="10">
        <v>4.9735</v>
      </c>
      <c r="H55" s="10">
        <v>5.2085</v>
      </c>
      <c r="I55" s="10">
        <v>5.2584</v>
      </c>
      <c r="J55" s="10">
        <v>4.6111</v>
      </c>
      <c r="K55" s="10">
        <v>5.1772</v>
      </c>
      <c r="L55" s="10">
        <v>5.4144</v>
      </c>
      <c r="M55" s="10">
        <v>5.0655</v>
      </c>
      <c r="N55" s="10">
        <v>5.6042</v>
      </c>
      <c r="O55" s="10">
        <v>4.5089</v>
      </c>
      <c r="P55" s="10">
        <v>4.9489</v>
      </c>
      <c r="Q55" s="10">
        <v>4.6218</v>
      </c>
      <c r="R55" s="10">
        <v>4.7812</v>
      </c>
      <c r="S55" s="10">
        <v>4.6041</v>
      </c>
      <c r="T55" s="10">
        <v>5.3175</v>
      </c>
      <c r="U55" s="10">
        <v>5.24</v>
      </c>
      <c r="V55" s="5" t="s">
        <v>96</v>
      </c>
    </row>
    <row r="56" ht="15.75" customHeight="1">
      <c r="A56" s="5" t="s">
        <v>105</v>
      </c>
      <c r="B56" s="6">
        <v>4.4915</v>
      </c>
      <c r="C56" s="6">
        <v>3.8504</v>
      </c>
      <c r="D56" s="6">
        <v>5.0941</v>
      </c>
      <c r="E56" s="6">
        <v>4.6288</v>
      </c>
      <c r="F56" s="6">
        <v>5.7144</v>
      </c>
      <c r="G56" s="6">
        <v>4.9735</v>
      </c>
      <c r="H56" s="6">
        <v>5.2085</v>
      </c>
      <c r="I56" s="6">
        <v>5.2584</v>
      </c>
      <c r="J56" s="6">
        <v>4.6111</v>
      </c>
      <c r="K56" s="6">
        <v>5.1772</v>
      </c>
      <c r="L56" s="6">
        <v>5.4144</v>
      </c>
      <c r="M56" s="6">
        <v>5.0655</v>
      </c>
      <c r="N56" s="6">
        <v>5.6042</v>
      </c>
      <c r="O56" s="6">
        <v>4.5089</v>
      </c>
      <c r="P56" s="6">
        <v>4.9489</v>
      </c>
      <c r="Q56" s="6">
        <v>4.6218</v>
      </c>
      <c r="R56" s="6">
        <v>4.7812</v>
      </c>
      <c r="S56" s="6">
        <v>4.6041</v>
      </c>
      <c r="T56" s="6">
        <v>5.3175</v>
      </c>
      <c r="U56" s="6">
        <v>5.24</v>
      </c>
      <c r="V56" s="5" t="s">
        <v>99</v>
      </c>
    </row>
    <row r="57" ht="15.75" customHeight="1">
      <c r="A57" s="9" t="s">
        <v>106</v>
      </c>
      <c r="B57" s="10">
        <v>11.3624</v>
      </c>
      <c r="C57" s="10">
        <v>12.7406</v>
      </c>
      <c r="D57" s="10">
        <v>8.9959</v>
      </c>
      <c r="E57" s="10">
        <v>8.8696</v>
      </c>
      <c r="F57" s="10">
        <v>3.1697</v>
      </c>
      <c r="G57" s="10">
        <v>11.994</v>
      </c>
      <c r="H57" s="10">
        <v>10.2942</v>
      </c>
      <c r="I57" s="10">
        <v>8.6122</v>
      </c>
      <c r="J57" s="10">
        <v>2.6155</v>
      </c>
      <c r="K57" s="10">
        <v>9.4849</v>
      </c>
      <c r="L57" s="10">
        <v>5.0402</v>
      </c>
      <c r="M57" s="10">
        <v>1.9138</v>
      </c>
      <c r="N57" s="10">
        <v>3.3756</v>
      </c>
      <c r="O57" s="10">
        <v>12.8766</v>
      </c>
      <c r="P57" s="10">
        <v>7.4629</v>
      </c>
      <c r="Q57" s="10">
        <v>9.296</v>
      </c>
      <c r="R57" s="10">
        <v>7.6766</v>
      </c>
      <c r="S57" s="10">
        <v>5.7664</v>
      </c>
      <c r="T57" s="10">
        <v>8.1232</v>
      </c>
      <c r="U57" s="10">
        <v>8.3873</v>
      </c>
      <c r="V57" s="5" t="s">
        <v>96</v>
      </c>
    </row>
    <row r="58" ht="15.75" customHeight="1">
      <c r="A58" s="9" t="s">
        <v>107</v>
      </c>
      <c r="B58" s="10">
        <v>3.4409</v>
      </c>
      <c r="C58" s="10">
        <v>5.106</v>
      </c>
      <c r="D58" s="10">
        <v>2.5304</v>
      </c>
      <c r="E58" s="10">
        <v>2.6776</v>
      </c>
      <c r="F58" s="10">
        <v>-1.5764</v>
      </c>
      <c r="G58" s="10">
        <v>3.7638</v>
      </c>
      <c r="H58" s="10">
        <v>3.3071</v>
      </c>
      <c r="I58" s="10">
        <v>1.1481</v>
      </c>
      <c r="J58" s="10">
        <v>-2.8388</v>
      </c>
      <c r="K58" s="10">
        <v>2.7542</v>
      </c>
      <c r="L58" s="10">
        <v>-1.8098</v>
      </c>
      <c r="M58" s="10">
        <v>-3.0133</v>
      </c>
      <c r="N58" s="10">
        <v>-0.9162</v>
      </c>
      <c r="O58" s="10">
        <v>3.2797</v>
      </c>
      <c r="P58" s="10">
        <v>0.9883</v>
      </c>
      <c r="Q58" s="10">
        <v>2.6654</v>
      </c>
      <c r="R58" s="10">
        <v>1.359</v>
      </c>
      <c r="S58" s="10">
        <v>1.2672</v>
      </c>
      <c r="T58" s="10">
        <v>1.4712</v>
      </c>
      <c r="U58" s="10">
        <v>1.4441</v>
      </c>
      <c r="V58" s="5" t="s">
        <v>96</v>
      </c>
    </row>
    <row r="59" ht="15.75" customHeight="1">
      <c r="A59" s="9" t="s">
        <v>108</v>
      </c>
      <c r="B59" s="10">
        <v>6.7833</v>
      </c>
      <c r="C59" s="10">
        <v>7.3954</v>
      </c>
      <c r="D59" s="10">
        <v>7.4608</v>
      </c>
      <c r="E59" s="10">
        <v>6.8356</v>
      </c>
      <c r="F59" s="10">
        <v>4.4411</v>
      </c>
      <c r="G59" s="10">
        <v>7.6881</v>
      </c>
      <c r="H59" s="10">
        <v>6.7513</v>
      </c>
      <c r="I59" s="10">
        <v>5.2272</v>
      </c>
      <c r="J59" s="10">
        <v>1.0919</v>
      </c>
      <c r="K59" s="10">
        <v>5.8803</v>
      </c>
      <c r="L59" s="10">
        <v>3.1559</v>
      </c>
      <c r="M59" s="10">
        <v>-0.2464</v>
      </c>
      <c r="N59" s="10">
        <v>3.1244</v>
      </c>
      <c r="O59" s="10">
        <v>6.7321</v>
      </c>
      <c r="P59" s="10">
        <v>4.6194</v>
      </c>
      <c r="Q59" s="10">
        <v>5.9291</v>
      </c>
      <c r="R59" s="10">
        <v>5.5021</v>
      </c>
      <c r="S59" s="10">
        <v>3.993</v>
      </c>
      <c r="T59" s="10">
        <v>4.6171</v>
      </c>
      <c r="U59" s="10">
        <v>5.4157</v>
      </c>
      <c r="V59" s="5" t="s">
        <v>96</v>
      </c>
    </row>
    <row r="60" ht="15.75" customHeight="1">
      <c r="A60" s="9" t="s">
        <v>109</v>
      </c>
      <c r="B60" s="10">
        <v>8.9012</v>
      </c>
      <c r="C60" s="10">
        <v>9.5044</v>
      </c>
      <c r="D60" s="10">
        <v>7.8717</v>
      </c>
      <c r="E60" s="10">
        <v>7.545</v>
      </c>
      <c r="F60" s="10">
        <v>3.7084</v>
      </c>
      <c r="G60" s="10">
        <v>9.6733</v>
      </c>
      <c r="H60" s="10">
        <v>8.1862</v>
      </c>
      <c r="I60" s="10">
        <v>7.8566</v>
      </c>
      <c r="J60" s="10">
        <v>3.8553</v>
      </c>
      <c r="K60" s="10">
        <v>7.7115</v>
      </c>
      <c r="L60" s="10">
        <v>4.8237</v>
      </c>
      <c r="M60" s="10">
        <v>3.5801</v>
      </c>
      <c r="N60" s="10">
        <v>3.788</v>
      </c>
      <c r="O60" s="10">
        <v>10.2591</v>
      </c>
      <c r="P60" s="10">
        <v>6.7863</v>
      </c>
      <c r="Q60" s="10">
        <v>7.16</v>
      </c>
      <c r="R60" s="10">
        <v>6.6731</v>
      </c>
      <c r="S60" s="10">
        <v>5.6198</v>
      </c>
      <c r="T60" s="10">
        <v>7.3278</v>
      </c>
      <c r="U60" s="10">
        <v>8.0603</v>
      </c>
      <c r="V60" s="5" t="s">
        <v>96</v>
      </c>
    </row>
    <row r="61" ht="15.75" customHeight="1">
      <c r="A61" s="9" t="s">
        <v>110</v>
      </c>
      <c r="B61" s="10">
        <v>15.7102</v>
      </c>
      <c r="C61" s="10">
        <v>17.2428</v>
      </c>
      <c r="D61" s="10">
        <v>13.2287</v>
      </c>
      <c r="E61" s="10">
        <v>12.7041</v>
      </c>
      <c r="F61" s="10">
        <v>7.3269</v>
      </c>
      <c r="G61" s="10">
        <v>17.5898</v>
      </c>
      <c r="H61" s="10">
        <v>15.2881</v>
      </c>
      <c r="I61" s="10">
        <v>12.1017</v>
      </c>
      <c r="J61" s="10">
        <v>6.3073</v>
      </c>
      <c r="K61" s="10">
        <v>14.0376</v>
      </c>
      <c r="L61" s="10">
        <v>9.7366</v>
      </c>
      <c r="M61" s="10">
        <v>4.6325</v>
      </c>
      <c r="N61" s="10">
        <v>7.7769</v>
      </c>
      <c r="O61" s="10">
        <v>15.5825</v>
      </c>
      <c r="P61" s="10">
        <v>12.3756</v>
      </c>
      <c r="Q61" s="10">
        <v>14.2206</v>
      </c>
      <c r="R61" s="10">
        <v>12.2808</v>
      </c>
      <c r="S61" s="10">
        <v>10.5309</v>
      </c>
      <c r="T61" s="10">
        <v>12.0406</v>
      </c>
      <c r="U61" s="10">
        <v>11.3315</v>
      </c>
      <c r="V61" s="5" t="s">
        <v>96</v>
      </c>
    </row>
    <row r="62" ht="15.75" customHeight="1">
      <c r="A62" s="9" t="s">
        <v>111</v>
      </c>
      <c r="B62" s="10">
        <v>12.2106</v>
      </c>
      <c r="C62" s="10">
        <v>13.6213</v>
      </c>
      <c r="D62" s="10">
        <v>11.444</v>
      </c>
      <c r="E62" s="10">
        <v>10.5542</v>
      </c>
      <c r="F62" s="10">
        <v>6.8473</v>
      </c>
      <c r="G62" s="10">
        <v>13.5375</v>
      </c>
      <c r="H62" s="10">
        <v>12.0572</v>
      </c>
      <c r="I62" s="10">
        <v>10.1348</v>
      </c>
      <c r="J62" s="10">
        <v>5.4312</v>
      </c>
      <c r="K62" s="10">
        <v>10.692</v>
      </c>
      <c r="L62" s="10">
        <v>7.0432</v>
      </c>
      <c r="M62" s="10">
        <v>3.886</v>
      </c>
      <c r="N62" s="10">
        <v>6.2517</v>
      </c>
      <c r="O62" s="10">
        <v>12.3605</v>
      </c>
      <c r="P62" s="10">
        <v>10.0657</v>
      </c>
      <c r="Q62" s="10">
        <v>11.0329</v>
      </c>
      <c r="R62" s="10">
        <v>9.4784</v>
      </c>
      <c r="S62" s="10">
        <v>8.5267</v>
      </c>
      <c r="T62" s="10">
        <v>9.0187</v>
      </c>
      <c r="U62" s="10">
        <v>10.0805</v>
      </c>
      <c r="V62" s="5" t="s">
        <v>96</v>
      </c>
    </row>
    <row r="63" ht="15.75" customHeight="1">
      <c r="A63" s="9" t="s">
        <v>112</v>
      </c>
      <c r="B63" s="10">
        <v>10.6245</v>
      </c>
      <c r="C63" s="10">
        <v>11.4715</v>
      </c>
      <c r="D63" s="10">
        <v>9.2937</v>
      </c>
      <c r="E63" s="10">
        <v>8.9102</v>
      </c>
      <c r="F63" s="10">
        <v>4.7247</v>
      </c>
      <c r="G63" s="10">
        <v>11.5298</v>
      </c>
      <c r="H63" s="10">
        <v>9.9526</v>
      </c>
      <c r="I63" s="10">
        <v>9.2598</v>
      </c>
      <c r="J63" s="10">
        <v>5.1457</v>
      </c>
      <c r="K63" s="10">
        <v>9.3097</v>
      </c>
      <c r="L63" s="10">
        <v>6.0661</v>
      </c>
      <c r="M63" s="10">
        <v>4.9213</v>
      </c>
      <c r="N63" s="10">
        <v>5.0621</v>
      </c>
      <c r="O63" s="10">
        <v>12.1617</v>
      </c>
      <c r="P63" s="10">
        <v>8.3642</v>
      </c>
      <c r="Q63" s="10">
        <v>8.8441</v>
      </c>
      <c r="R63" s="10">
        <v>8.0584</v>
      </c>
      <c r="S63" s="10">
        <v>7.1684</v>
      </c>
      <c r="T63" s="10">
        <v>8.8722</v>
      </c>
      <c r="U63" s="10">
        <v>9.4593</v>
      </c>
      <c r="V63" s="5" t="s">
        <v>96</v>
      </c>
    </row>
    <row r="64" ht="15.75" customHeight="1">
      <c r="A64" s="9" t="s">
        <v>113</v>
      </c>
      <c r="B64" s="10">
        <v>11.2563</v>
      </c>
      <c r="C64" s="10">
        <v>12.5558</v>
      </c>
      <c r="D64" s="10">
        <v>8.8604</v>
      </c>
      <c r="E64" s="10">
        <v>8.8298</v>
      </c>
      <c r="F64" s="10">
        <v>3.4335</v>
      </c>
      <c r="G64" s="10">
        <v>12.2315</v>
      </c>
      <c r="H64" s="10">
        <v>10.2981</v>
      </c>
      <c r="I64" s="10">
        <v>8.6318</v>
      </c>
      <c r="J64" s="10">
        <v>2.6469</v>
      </c>
      <c r="K64" s="10">
        <v>9.5362</v>
      </c>
      <c r="L64" s="10">
        <v>5.1367</v>
      </c>
      <c r="M64" s="10">
        <v>1.8891</v>
      </c>
      <c r="N64" s="10">
        <v>3.4792</v>
      </c>
      <c r="O64" s="10">
        <v>12.7987</v>
      </c>
      <c r="P64" s="10">
        <v>7.7349</v>
      </c>
      <c r="Q64" s="10">
        <v>9.2987</v>
      </c>
      <c r="R64" s="10">
        <v>7.6957</v>
      </c>
      <c r="S64" s="10">
        <v>5.6721</v>
      </c>
      <c r="T64" s="10">
        <v>8.1857</v>
      </c>
      <c r="U64" s="10">
        <v>8.3684</v>
      </c>
      <c r="V64" s="5" t="s">
        <v>96</v>
      </c>
    </row>
    <row r="65" ht="15.75" customHeight="1">
      <c r="A65" s="5" t="s">
        <v>114</v>
      </c>
      <c r="B65" s="6">
        <v>12.064</v>
      </c>
      <c r="C65" s="6">
        <v>14.121</v>
      </c>
      <c r="D65" s="6">
        <v>8.801</v>
      </c>
      <c r="E65" s="6">
        <v>8.605</v>
      </c>
      <c r="F65" s="6">
        <v>1.178</v>
      </c>
      <c r="G65" s="6">
        <v>10.783</v>
      </c>
      <c r="H65" s="6">
        <v>10.354</v>
      </c>
      <c r="I65" s="6">
        <v>7.489</v>
      </c>
      <c r="J65" s="6">
        <v>1.287</v>
      </c>
      <c r="K65" s="6">
        <v>8.703</v>
      </c>
      <c r="L65" s="6">
        <v>3.056</v>
      </c>
      <c r="M65" s="6">
        <v>0.257</v>
      </c>
      <c r="N65" s="6">
        <v>1.73</v>
      </c>
      <c r="O65" s="6">
        <v>12.987</v>
      </c>
      <c r="P65" s="6">
        <v>4.95</v>
      </c>
      <c r="Q65" s="6">
        <v>9.953</v>
      </c>
      <c r="R65" s="6">
        <v>6.987</v>
      </c>
      <c r="S65" s="6">
        <v>4.523</v>
      </c>
      <c r="T65" s="6">
        <v>6.941</v>
      </c>
      <c r="U65" s="6">
        <v>7.092</v>
      </c>
      <c r="V65" s="5" t="s">
        <v>99</v>
      </c>
    </row>
    <row r="66" ht="15.75" customHeight="1">
      <c r="A66" s="9" t="s">
        <v>115</v>
      </c>
      <c r="B66" s="10">
        <v>8.3124</v>
      </c>
      <c r="C66" s="10">
        <v>9.2914</v>
      </c>
      <c r="D66" s="10">
        <v>7.3841</v>
      </c>
      <c r="E66" s="10">
        <v>6.7253</v>
      </c>
      <c r="F66" s="10">
        <v>2.1843</v>
      </c>
      <c r="G66" s="10">
        <v>8.2219</v>
      </c>
      <c r="H66" s="10">
        <v>7.3226</v>
      </c>
      <c r="I66" s="10">
        <v>6.9119</v>
      </c>
      <c r="J66" s="10">
        <v>2.4781</v>
      </c>
      <c r="K66" s="10">
        <v>6.9843</v>
      </c>
      <c r="L66" s="10">
        <v>3.7374</v>
      </c>
      <c r="M66" s="10">
        <v>2.308</v>
      </c>
      <c r="N66" s="10">
        <v>2.4578</v>
      </c>
      <c r="O66" s="10">
        <v>9.5671</v>
      </c>
      <c r="P66" s="10">
        <v>4.9174</v>
      </c>
      <c r="Q66" s="10">
        <v>6.4337</v>
      </c>
      <c r="R66" s="10">
        <v>5.7388</v>
      </c>
      <c r="S66" s="10">
        <v>4.9361</v>
      </c>
      <c r="T66" s="10">
        <v>6.2388</v>
      </c>
      <c r="U66" s="10">
        <v>7.1071</v>
      </c>
      <c r="V66" s="5" t="s">
        <v>96</v>
      </c>
    </row>
    <row r="67" ht="15.75" customHeight="1">
      <c r="A67" s="9" t="s">
        <v>116</v>
      </c>
      <c r="B67" s="10">
        <v>12.0185</v>
      </c>
      <c r="C67" s="10">
        <v>13.0918</v>
      </c>
      <c r="D67" s="10">
        <v>7.2325</v>
      </c>
      <c r="E67" s="10">
        <v>8.7748</v>
      </c>
      <c r="F67" s="10">
        <v>2.81</v>
      </c>
      <c r="G67" s="10">
        <v>18.474</v>
      </c>
      <c r="H67" s="10">
        <v>13.3678</v>
      </c>
      <c r="I67" s="10">
        <v>6.2582</v>
      </c>
      <c r="J67" s="10">
        <v>-0.9546</v>
      </c>
      <c r="K67" s="10">
        <v>10.3594</v>
      </c>
      <c r="L67" s="10">
        <v>3.6992</v>
      </c>
      <c r="M67" s="10">
        <v>-10.5142</v>
      </c>
      <c r="N67" s="10">
        <v>1.8173</v>
      </c>
      <c r="O67" s="10">
        <v>14.7247</v>
      </c>
      <c r="P67" s="10">
        <v>10.6043</v>
      </c>
      <c r="Q67" s="10">
        <v>10.9498</v>
      </c>
      <c r="R67" s="10">
        <v>8.5698</v>
      </c>
      <c r="S67" s="10">
        <v>1.8977</v>
      </c>
      <c r="T67" s="10">
        <v>7.319</v>
      </c>
      <c r="U67" s="10">
        <v>6.0212</v>
      </c>
      <c r="V67" s="5" t="s">
        <v>96</v>
      </c>
    </row>
    <row r="68" ht="15.75" customHeight="1">
      <c r="A68" s="9" t="s">
        <v>117</v>
      </c>
      <c r="B68" s="10">
        <v>19.4041</v>
      </c>
      <c r="C68" s="10">
        <v>20.4763</v>
      </c>
      <c r="D68" s="10">
        <v>19.5877</v>
      </c>
      <c r="E68" s="10">
        <v>17.4898</v>
      </c>
      <c r="F68" s="10">
        <v>13.1103</v>
      </c>
      <c r="G68" s="10">
        <v>18.9689</v>
      </c>
      <c r="H68" s="10">
        <v>20.1174</v>
      </c>
      <c r="I68" s="10">
        <v>17.0024</v>
      </c>
      <c r="J68" s="10">
        <v>11.7365</v>
      </c>
      <c r="K68" s="10">
        <v>18.0026</v>
      </c>
      <c r="L68" s="10">
        <v>14.4683</v>
      </c>
      <c r="M68" s="10">
        <v>11.4545</v>
      </c>
      <c r="N68" s="10">
        <v>13.2167</v>
      </c>
      <c r="O68" s="10">
        <v>19.2707</v>
      </c>
      <c r="P68" s="10">
        <v>15.3932</v>
      </c>
      <c r="Q68" s="10">
        <v>19.4611</v>
      </c>
      <c r="R68" s="10">
        <v>17.083</v>
      </c>
      <c r="S68" s="10">
        <v>18.1358</v>
      </c>
      <c r="T68" s="10">
        <v>16.1206</v>
      </c>
      <c r="U68" s="10">
        <v>17.1969</v>
      </c>
      <c r="V68" s="5" t="s">
        <v>96</v>
      </c>
    </row>
    <row r="69" ht="15.75" customHeight="1">
      <c r="A69" s="5" t="s">
        <v>118</v>
      </c>
      <c r="B69" s="6">
        <v>6.61</v>
      </c>
      <c r="C69" s="6">
        <v>7.31</v>
      </c>
      <c r="D69" s="6">
        <v>6.11</v>
      </c>
      <c r="E69" s="6">
        <v>5.53</v>
      </c>
      <c r="F69" s="6">
        <v>1.77</v>
      </c>
      <c r="G69" s="6">
        <v>7.62</v>
      </c>
      <c r="H69" s="6">
        <v>6.52</v>
      </c>
      <c r="I69" s="6">
        <v>4.82</v>
      </c>
      <c r="J69" s="6">
        <v>0.2</v>
      </c>
      <c r="K69" s="6">
        <v>5.64</v>
      </c>
      <c r="L69" s="6">
        <v>2.61</v>
      </c>
      <c r="M69" s="6">
        <v>-1.21</v>
      </c>
      <c r="N69" s="6">
        <v>1.38</v>
      </c>
      <c r="O69" s="6">
        <v>6.56</v>
      </c>
      <c r="P69" s="6">
        <v>4.23</v>
      </c>
      <c r="Q69" s="6">
        <v>5.7</v>
      </c>
      <c r="R69" s="6">
        <v>4.6</v>
      </c>
      <c r="S69" s="6">
        <v>3.46</v>
      </c>
      <c r="T69" s="6">
        <v>4.12</v>
      </c>
      <c r="U69" s="6">
        <v>4.9</v>
      </c>
      <c r="V69" s="5" t="s">
        <v>99</v>
      </c>
    </row>
    <row r="70" ht="15.75" customHeight="1">
      <c r="A70" s="5" t="s">
        <v>119</v>
      </c>
      <c r="B70" s="6">
        <v>5.144</v>
      </c>
      <c r="C70" s="6">
        <v>6.2916</v>
      </c>
      <c r="D70" s="6">
        <v>4.4705</v>
      </c>
      <c r="E70" s="6">
        <v>4.2006</v>
      </c>
      <c r="F70" s="6">
        <v>0.2015</v>
      </c>
      <c r="G70" s="6">
        <v>5.7761</v>
      </c>
      <c r="H70" s="6">
        <v>5.0208</v>
      </c>
      <c r="I70" s="6">
        <v>3.1243</v>
      </c>
      <c r="J70" s="6">
        <v>-1.1817</v>
      </c>
      <c r="K70" s="6">
        <v>4.2912</v>
      </c>
      <c r="L70" s="6">
        <v>0.5788</v>
      </c>
      <c r="M70" s="6">
        <v>-2.0189</v>
      </c>
      <c r="N70" s="6">
        <v>0.3134</v>
      </c>
      <c r="O70" s="6">
        <v>5.0451</v>
      </c>
      <c r="P70" s="6">
        <v>2.6953</v>
      </c>
      <c r="Q70" s="6">
        <v>4.2892</v>
      </c>
      <c r="R70" s="6">
        <v>3.0956</v>
      </c>
      <c r="S70" s="6">
        <v>2.4694</v>
      </c>
      <c r="T70" s="6">
        <v>2.8943</v>
      </c>
      <c r="U70" s="6">
        <v>3.3183</v>
      </c>
      <c r="V70" s="5" t="s">
        <v>99</v>
      </c>
    </row>
    <row r="71" ht="15.75" customHeight="1">
      <c r="A71" s="5" t="s">
        <v>120</v>
      </c>
      <c r="B71" s="6">
        <v>6.5374</v>
      </c>
      <c r="C71" s="6">
        <v>7.2617</v>
      </c>
      <c r="D71" s="6">
        <v>6.0578</v>
      </c>
      <c r="E71" s="6">
        <v>5.4466</v>
      </c>
      <c r="F71" s="6">
        <v>1.656</v>
      </c>
      <c r="G71" s="6">
        <v>7.4226</v>
      </c>
      <c r="H71" s="6">
        <v>6.4229</v>
      </c>
      <c r="I71" s="6">
        <v>4.7411</v>
      </c>
      <c r="J71" s="6">
        <v>0.1741</v>
      </c>
      <c r="K71" s="6">
        <v>5.5488</v>
      </c>
      <c r="L71" s="6">
        <v>2.5331</v>
      </c>
      <c r="M71" s="6">
        <v>-1.2053</v>
      </c>
      <c r="N71" s="6">
        <v>1.3193</v>
      </c>
      <c r="O71" s="6">
        <v>6.4894</v>
      </c>
      <c r="P71" s="6">
        <v>4.0919</v>
      </c>
      <c r="Q71" s="6">
        <v>5.6177</v>
      </c>
      <c r="R71" s="6">
        <v>4.5165</v>
      </c>
      <c r="S71" s="6">
        <v>3.453</v>
      </c>
      <c r="T71" s="6">
        <v>4.0586</v>
      </c>
      <c r="U71" s="6">
        <v>4.8517</v>
      </c>
      <c r="V71" s="5" t="s">
        <v>99</v>
      </c>
    </row>
    <row r="72" ht="15.75" customHeight="1">
      <c r="A72" s="5" t="s">
        <v>121</v>
      </c>
      <c r="B72" s="6">
        <v>6.5374</v>
      </c>
      <c r="C72" s="6">
        <v>7.2617</v>
      </c>
      <c r="D72" s="6">
        <v>6.0578</v>
      </c>
      <c r="E72" s="6">
        <v>5.4466</v>
      </c>
      <c r="F72" s="6">
        <v>1.656</v>
      </c>
      <c r="G72" s="6">
        <v>7.4226</v>
      </c>
      <c r="H72" s="6">
        <v>6.4229</v>
      </c>
      <c r="I72" s="6">
        <v>4.7411</v>
      </c>
      <c r="J72" s="6">
        <v>0.1741</v>
      </c>
      <c r="K72" s="6">
        <v>5.5488</v>
      </c>
      <c r="L72" s="6">
        <v>2.5331</v>
      </c>
      <c r="M72" s="6">
        <v>-1.2053</v>
      </c>
      <c r="N72" s="6">
        <v>1.3193</v>
      </c>
      <c r="O72" s="6">
        <v>6.4894</v>
      </c>
      <c r="P72" s="6">
        <v>4.0919</v>
      </c>
      <c r="Q72" s="6">
        <v>5.6177</v>
      </c>
      <c r="R72" s="6">
        <v>4.5165</v>
      </c>
      <c r="S72" s="6">
        <v>3.453</v>
      </c>
      <c r="T72" s="6">
        <v>4.0586</v>
      </c>
      <c r="U72" s="6">
        <v>4.8517</v>
      </c>
      <c r="V72" s="5" t="s">
        <v>99</v>
      </c>
    </row>
    <row r="73" ht="15.75" customHeight="1">
      <c r="A73" s="9" t="s">
        <v>122</v>
      </c>
      <c r="B73" s="10">
        <v>7.4824</v>
      </c>
      <c r="C73" s="10">
        <v>7.9636</v>
      </c>
      <c r="D73" s="10">
        <v>7.183</v>
      </c>
      <c r="E73" s="10">
        <v>6.661</v>
      </c>
      <c r="F73" s="10">
        <v>3.3628</v>
      </c>
      <c r="G73" s="10">
        <v>8.6709</v>
      </c>
      <c r="H73" s="10">
        <v>7.4734</v>
      </c>
      <c r="I73" s="10">
        <v>6.0197</v>
      </c>
      <c r="J73" s="10">
        <v>1.6534</v>
      </c>
      <c r="K73" s="10">
        <v>6.6709</v>
      </c>
      <c r="L73" s="10">
        <v>3.9552</v>
      </c>
      <c r="M73" s="10">
        <v>0.2292</v>
      </c>
      <c r="N73" s="10">
        <v>2.7973</v>
      </c>
      <c r="O73" s="10">
        <v>7.3659</v>
      </c>
      <c r="P73" s="10">
        <v>5.5264</v>
      </c>
      <c r="Q73" s="10">
        <v>6.6561</v>
      </c>
      <c r="R73" s="10">
        <v>5.7921</v>
      </c>
      <c r="S73" s="10">
        <v>4.5657</v>
      </c>
      <c r="T73" s="10">
        <v>5.2859</v>
      </c>
      <c r="U73" s="10">
        <v>6.1117</v>
      </c>
      <c r="V73" s="5" t="s">
        <v>96</v>
      </c>
    </row>
    <row r="74" ht="15.75" customHeight="1">
      <c r="A74" s="5" t="s">
        <v>123</v>
      </c>
      <c r="B74" s="6">
        <v>7.2028</v>
      </c>
      <c r="C74" s="6">
        <v>7.7363</v>
      </c>
      <c r="D74" s="6">
        <v>7.2941</v>
      </c>
      <c r="E74" s="6">
        <v>6.7309</v>
      </c>
      <c r="F74" s="6">
        <v>3.7941</v>
      </c>
      <c r="G74" s="6">
        <v>8.2778</v>
      </c>
      <c r="H74" s="6">
        <v>7.1846</v>
      </c>
      <c r="I74" s="6">
        <v>5.7027</v>
      </c>
      <c r="J74" s="6">
        <v>1.4288</v>
      </c>
      <c r="K74" s="6">
        <v>6.3547</v>
      </c>
      <c r="L74" s="6">
        <v>3.6355</v>
      </c>
      <c r="M74" s="6">
        <v>0.039</v>
      </c>
      <c r="N74" s="6">
        <v>2.9282</v>
      </c>
      <c r="O74" s="6">
        <v>7.1124</v>
      </c>
      <c r="P74" s="6">
        <v>5.1636</v>
      </c>
      <c r="Q74" s="6">
        <v>6.3653</v>
      </c>
      <c r="R74" s="6">
        <v>5.6761</v>
      </c>
      <c r="S74" s="6">
        <v>4.3366</v>
      </c>
      <c r="T74" s="6">
        <v>5.0184</v>
      </c>
      <c r="U74" s="6">
        <v>5.8333</v>
      </c>
      <c r="V74" s="5" t="s">
        <v>99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3.0"/>
    <col customWidth="1" min="2" max="2" width="7.0"/>
    <col customWidth="1" min="3" max="3" width="8.0"/>
    <col customWidth="1" min="4" max="4" width="9.0"/>
    <col customWidth="1" min="5" max="5" width="14.0"/>
    <col customWidth="1" min="6" max="11" width="11.0"/>
    <col customWidth="1" min="12" max="12" width="24.0"/>
    <col customWidth="1" min="13" max="26" width="8.71"/>
  </cols>
  <sheetData>
    <row r="1">
      <c r="A1" s="4" t="s">
        <v>25</v>
      </c>
      <c r="B1" s="4" t="s">
        <v>124</v>
      </c>
      <c r="C1" s="4" t="s">
        <v>125</v>
      </c>
      <c r="D1" s="4" t="s">
        <v>126</v>
      </c>
      <c r="E1" s="4" t="s">
        <v>127</v>
      </c>
      <c r="F1" s="4" t="s">
        <v>128</v>
      </c>
      <c r="G1" s="4" t="s">
        <v>129</v>
      </c>
      <c r="H1" s="4" t="s">
        <v>130</v>
      </c>
      <c r="I1" s="4" t="s">
        <v>131</v>
      </c>
      <c r="J1" s="4" t="s">
        <v>132</v>
      </c>
      <c r="K1" s="4" t="s">
        <v>133</v>
      </c>
      <c r="L1" s="4" t="s">
        <v>46</v>
      </c>
    </row>
    <row r="2">
      <c r="A2" s="5" t="s">
        <v>47</v>
      </c>
      <c r="B2" s="11">
        <v>135.0</v>
      </c>
      <c r="C2" s="11">
        <v>0.8596</v>
      </c>
      <c r="D2" s="11">
        <v>0.6923</v>
      </c>
      <c r="E2" s="11">
        <v>0.1981</v>
      </c>
      <c r="F2" s="11">
        <v>0.7608</v>
      </c>
      <c r="G2" s="11">
        <v>0.6678</v>
      </c>
      <c r="H2" s="11">
        <v>0.1648</v>
      </c>
      <c r="I2" s="11">
        <v>0.1951</v>
      </c>
      <c r="J2" s="11">
        <v>-0.1518</v>
      </c>
      <c r="K2" s="11">
        <v>0.0379</v>
      </c>
      <c r="L2" s="5" t="s">
        <v>48</v>
      </c>
    </row>
    <row r="3">
      <c r="A3" s="5" t="s">
        <v>49</v>
      </c>
      <c r="B3" s="11">
        <v>69.0</v>
      </c>
      <c r="C3" s="11">
        <v>0.8211</v>
      </c>
      <c r="D3" s="11">
        <v>0.5349</v>
      </c>
      <c r="E3" s="11">
        <v>-0.0997</v>
      </c>
      <c r="F3" s="11">
        <v>0.4325</v>
      </c>
      <c r="G3" s="11">
        <v>-0.0322</v>
      </c>
      <c r="H3" s="11">
        <v>0.1083</v>
      </c>
      <c r="I3" s="11">
        <v>0.0359</v>
      </c>
      <c r="J3" s="11">
        <v>0.0882</v>
      </c>
      <c r="K3" s="11">
        <v>-0.1154</v>
      </c>
      <c r="L3" s="5" t="s">
        <v>48</v>
      </c>
    </row>
    <row r="4">
      <c r="A4" s="5" t="s">
        <v>50</v>
      </c>
      <c r="B4" s="11">
        <v>69.0</v>
      </c>
      <c r="C4" s="11">
        <v>0.9785</v>
      </c>
      <c r="D4" s="11">
        <v>0.5349</v>
      </c>
      <c r="E4" s="11">
        <v>0.0254</v>
      </c>
      <c r="F4" s="11">
        <v>0.5719</v>
      </c>
      <c r="G4" s="11">
        <v>0.4758</v>
      </c>
      <c r="H4" s="11">
        <v>0.2924</v>
      </c>
      <c r="I4" s="11">
        <v>0.1419</v>
      </c>
      <c r="J4" s="11">
        <v>-0.0439</v>
      </c>
      <c r="K4" s="11">
        <v>-0.0025</v>
      </c>
      <c r="L4" s="5" t="s">
        <v>48</v>
      </c>
    </row>
    <row r="5">
      <c r="A5" s="5" t="s">
        <v>51</v>
      </c>
      <c r="B5" s="11">
        <v>105.0</v>
      </c>
      <c r="C5" s="11">
        <v>0.7837</v>
      </c>
      <c r="D5" s="11">
        <v>0.6364</v>
      </c>
      <c r="E5" s="11">
        <v>-0.2303</v>
      </c>
      <c r="F5" s="11">
        <v>0.7864</v>
      </c>
      <c r="G5" s="11">
        <v>0.0063</v>
      </c>
      <c r="H5" s="11">
        <v>-0.1236</v>
      </c>
      <c r="I5" s="11">
        <v>-0.2516</v>
      </c>
      <c r="J5" s="11">
        <v>-0.1173</v>
      </c>
      <c r="K5" s="11">
        <v>-0.029</v>
      </c>
      <c r="L5" s="5" t="s">
        <v>48</v>
      </c>
    </row>
    <row r="6">
      <c r="A6" s="5" t="s">
        <v>52</v>
      </c>
      <c r="B6" s="11">
        <v>119.0</v>
      </c>
      <c r="C6" s="11">
        <v>0.7193</v>
      </c>
      <c r="D6" s="11">
        <v>0.6648</v>
      </c>
      <c r="E6" s="11">
        <v>0.2521</v>
      </c>
      <c r="F6" s="11">
        <v>0.645</v>
      </c>
      <c r="G6" s="11">
        <v>0.0543</v>
      </c>
      <c r="H6" s="11">
        <v>-0.1864</v>
      </c>
      <c r="I6" s="11">
        <v>-0.3293</v>
      </c>
      <c r="J6" s="11">
        <v>-0.0758</v>
      </c>
      <c r="K6" s="11">
        <v>0.0695</v>
      </c>
      <c r="L6" s="5" t="s">
        <v>48</v>
      </c>
    </row>
    <row r="7">
      <c r="A7" s="5" t="s">
        <v>53</v>
      </c>
      <c r="B7" s="11">
        <v>102.0</v>
      </c>
      <c r="C7" s="11">
        <v>0.9087</v>
      </c>
      <c r="D7" s="11">
        <v>0.6296</v>
      </c>
      <c r="E7" s="11">
        <v>0.0266</v>
      </c>
      <c r="F7" s="11">
        <v>0.6091</v>
      </c>
      <c r="G7" s="11">
        <v>0.117</v>
      </c>
      <c r="H7" s="11">
        <v>0.1822</v>
      </c>
      <c r="I7" s="11">
        <v>0.1173</v>
      </c>
      <c r="J7" s="11">
        <v>0.1971</v>
      </c>
      <c r="K7" s="11">
        <v>-0.085</v>
      </c>
      <c r="L7" s="5" t="s">
        <v>48</v>
      </c>
    </row>
    <row r="8">
      <c r="A8" s="5" t="s">
        <v>54</v>
      </c>
      <c r="B8" s="11">
        <v>48.0</v>
      </c>
      <c r="C8" s="11">
        <v>0.988</v>
      </c>
      <c r="D8" s="11">
        <v>0.4444</v>
      </c>
      <c r="E8" s="11">
        <v>-0.0299</v>
      </c>
      <c r="F8" s="11">
        <v>0.4493</v>
      </c>
      <c r="G8" s="11">
        <v>0.3652</v>
      </c>
      <c r="H8" s="11">
        <v>0.1149</v>
      </c>
      <c r="I8" s="11">
        <v>0.0851</v>
      </c>
      <c r="J8" s="11">
        <v>-0.0315</v>
      </c>
      <c r="K8" s="11">
        <v>0.0203</v>
      </c>
      <c r="L8" s="5" t="s">
        <v>48</v>
      </c>
    </row>
    <row r="9">
      <c r="A9" s="5" t="s">
        <v>55</v>
      </c>
      <c r="B9" s="11">
        <v>187.0</v>
      </c>
      <c r="C9" s="11">
        <v>0.7826</v>
      </c>
      <c r="D9" s="11">
        <v>0.7571</v>
      </c>
      <c r="E9" s="11">
        <v>-0.0962</v>
      </c>
      <c r="F9" s="11">
        <v>0.8121</v>
      </c>
      <c r="G9" s="11">
        <v>0.2337</v>
      </c>
      <c r="H9" s="11">
        <v>-0.0013</v>
      </c>
      <c r="I9" s="11">
        <v>0.0491</v>
      </c>
      <c r="J9" s="11">
        <v>-0.0581</v>
      </c>
      <c r="K9" s="11">
        <v>-0.093</v>
      </c>
      <c r="L9" s="5" t="s">
        <v>48</v>
      </c>
    </row>
    <row r="10">
      <c r="A10" s="5" t="s">
        <v>56</v>
      </c>
      <c r="B10" s="11">
        <v>229.0</v>
      </c>
      <c r="C10" s="11">
        <v>0.6919</v>
      </c>
      <c r="D10" s="11">
        <v>0.7924</v>
      </c>
      <c r="E10" s="11">
        <v>0.174</v>
      </c>
      <c r="F10" s="11">
        <v>0.73</v>
      </c>
      <c r="G10" s="11">
        <v>0.026</v>
      </c>
      <c r="H10" s="11">
        <v>-0.1844</v>
      </c>
      <c r="I10" s="11">
        <v>-0.2286</v>
      </c>
      <c r="J10" s="11">
        <v>0.1878</v>
      </c>
      <c r="K10" s="11">
        <v>0.0557</v>
      </c>
      <c r="L10" s="5" t="s">
        <v>48</v>
      </c>
    </row>
    <row r="11">
      <c r="A11" s="5" t="s">
        <v>57</v>
      </c>
      <c r="B11" s="11">
        <v>80.0</v>
      </c>
      <c r="C11" s="11">
        <v>0.948</v>
      </c>
      <c r="D11" s="11">
        <v>0.5714</v>
      </c>
      <c r="E11" s="11">
        <v>0.0983</v>
      </c>
      <c r="F11" s="11">
        <v>0.6443</v>
      </c>
      <c r="G11" s="11">
        <v>0.4307</v>
      </c>
      <c r="H11" s="11">
        <v>-0.1119</v>
      </c>
      <c r="I11" s="11">
        <v>-0.2837</v>
      </c>
      <c r="J11" s="11">
        <v>0.1131</v>
      </c>
      <c r="K11" s="11">
        <v>0.0076</v>
      </c>
      <c r="L11" s="5" t="s">
        <v>48</v>
      </c>
    </row>
    <row r="12">
      <c r="A12" s="5" t="s">
        <v>58</v>
      </c>
      <c r="B12" s="11">
        <v>158.0</v>
      </c>
      <c r="C12" s="11">
        <v>0.9044</v>
      </c>
      <c r="D12" s="11">
        <v>0.7248</v>
      </c>
      <c r="E12" s="11">
        <v>0.0888</v>
      </c>
      <c r="F12" s="11">
        <v>0.6814</v>
      </c>
      <c r="G12" s="11">
        <v>-0.0444</v>
      </c>
      <c r="H12" s="11">
        <v>0.02</v>
      </c>
      <c r="I12" s="11">
        <v>-0.0507</v>
      </c>
      <c r="J12" s="11">
        <v>0.0722</v>
      </c>
      <c r="K12" s="11">
        <v>-0.2108</v>
      </c>
      <c r="L12" s="5" t="s">
        <v>48</v>
      </c>
    </row>
    <row r="13">
      <c r="A13" s="5" t="s">
        <v>59</v>
      </c>
      <c r="B13" s="11">
        <v>214.0</v>
      </c>
      <c r="C13" s="11">
        <v>0.4267</v>
      </c>
      <c r="D13" s="11">
        <v>0.781</v>
      </c>
      <c r="E13" s="11">
        <v>-0.2851</v>
      </c>
      <c r="F13" s="11">
        <v>0.6984</v>
      </c>
      <c r="G13" s="11">
        <v>-0.0892</v>
      </c>
      <c r="H13" s="11">
        <v>-0.0294</v>
      </c>
      <c r="I13" s="11">
        <v>-0.0739</v>
      </c>
      <c r="J13" s="11">
        <v>0.0867</v>
      </c>
      <c r="K13" s="11">
        <v>-0.0518</v>
      </c>
      <c r="L13" s="5" t="s">
        <v>48</v>
      </c>
    </row>
    <row r="14">
      <c r="A14" s="5" t="s">
        <v>60</v>
      </c>
      <c r="B14" s="11">
        <v>17.0</v>
      </c>
      <c r="C14" s="11">
        <v>0.5276</v>
      </c>
      <c r="D14" s="11">
        <v>0.2208</v>
      </c>
      <c r="E14" s="11">
        <v>0.7313</v>
      </c>
      <c r="F14" s="11">
        <v>0.3153</v>
      </c>
      <c r="G14" s="11">
        <v>0.0916</v>
      </c>
      <c r="H14" s="11">
        <v>-0.0554</v>
      </c>
      <c r="I14" s="11">
        <v>-0.196</v>
      </c>
      <c r="J14" s="11">
        <v>0.2168</v>
      </c>
      <c r="K14" s="11">
        <v>0.1451</v>
      </c>
      <c r="L14" s="5" t="s">
        <v>48</v>
      </c>
    </row>
    <row r="15">
      <c r="A15" s="5" t="s">
        <v>61</v>
      </c>
      <c r="B15" s="11">
        <v>99.0</v>
      </c>
      <c r="C15" s="11">
        <v>0.8848</v>
      </c>
      <c r="D15" s="11">
        <v>0.6226</v>
      </c>
      <c r="E15" s="11">
        <v>0.09</v>
      </c>
      <c r="F15" s="11">
        <v>0.7004</v>
      </c>
      <c r="G15" s="11">
        <v>0.3169</v>
      </c>
      <c r="H15" s="11">
        <v>0.1572</v>
      </c>
      <c r="I15" s="11">
        <v>0.1574</v>
      </c>
      <c r="J15" s="11">
        <v>-0.0943</v>
      </c>
      <c r="K15" s="11">
        <v>-0.0077</v>
      </c>
      <c r="L15" s="5" t="s">
        <v>48</v>
      </c>
    </row>
    <row r="16">
      <c r="A16" s="5" t="s">
        <v>62</v>
      </c>
      <c r="B16" s="11">
        <v>107.0</v>
      </c>
      <c r="C16" s="11">
        <v>0.7784</v>
      </c>
      <c r="D16" s="11">
        <v>0.6407</v>
      </c>
      <c r="E16" s="11">
        <v>-0.4156</v>
      </c>
      <c r="F16" s="11">
        <v>0.7517</v>
      </c>
      <c r="G16" s="11">
        <v>0.5514</v>
      </c>
      <c r="H16" s="11">
        <v>-0.2621</v>
      </c>
      <c r="I16" s="11">
        <v>-0.3228</v>
      </c>
      <c r="J16" s="11">
        <v>0.2799</v>
      </c>
      <c r="K16" s="11">
        <v>0.006</v>
      </c>
      <c r="L16" s="5" t="s">
        <v>48</v>
      </c>
    </row>
    <row r="17">
      <c r="A17" s="5" t="s">
        <v>63</v>
      </c>
      <c r="B17" s="11">
        <v>229.0</v>
      </c>
      <c r="C17" s="11">
        <v>0.9238</v>
      </c>
      <c r="D17" s="11">
        <v>0.7924</v>
      </c>
      <c r="E17" s="11">
        <v>0.0628</v>
      </c>
      <c r="F17" s="11">
        <v>0.8356</v>
      </c>
      <c r="G17" s="11">
        <v>0.0685</v>
      </c>
      <c r="H17" s="11">
        <v>-0.1854</v>
      </c>
      <c r="I17" s="11">
        <v>-0.1134</v>
      </c>
      <c r="J17" s="11">
        <v>-0.0202</v>
      </c>
      <c r="K17" s="11">
        <v>-0.0869</v>
      </c>
      <c r="L17" s="5" t="s">
        <v>48</v>
      </c>
    </row>
    <row r="18">
      <c r="A18" s="5" t="s">
        <v>64</v>
      </c>
      <c r="B18" s="11">
        <v>143.0</v>
      </c>
      <c r="C18" s="11">
        <v>0.9702</v>
      </c>
      <c r="D18" s="11">
        <v>0.7044</v>
      </c>
      <c r="E18" s="11">
        <v>-0.0638</v>
      </c>
      <c r="F18" s="11">
        <v>0.6893</v>
      </c>
      <c r="G18" s="11">
        <v>-0.0635</v>
      </c>
      <c r="H18" s="11">
        <v>-0.0196</v>
      </c>
      <c r="I18" s="11">
        <v>0.1419</v>
      </c>
      <c r="J18" s="11">
        <v>-0.0188</v>
      </c>
      <c r="K18" s="11">
        <v>0.0038</v>
      </c>
      <c r="L18" s="5" t="s">
        <v>48</v>
      </c>
    </row>
    <row r="19">
      <c r="A19" s="5" t="s">
        <v>65</v>
      </c>
      <c r="B19" s="11">
        <v>140.0</v>
      </c>
      <c r="C19" s="11">
        <v>0.8467</v>
      </c>
      <c r="D19" s="11">
        <v>0.7</v>
      </c>
      <c r="E19" s="11">
        <v>-0.2331</v>
      </c>
      <c r="F19" s="11">
        <v>0.7906</v>
      </c>
      <c r="G19" s="11">
        <v>0.1929</v>
      </c>
      <c r="H19" s="11">
        <v>-0.1611</v>
      </c>
      <c r="I19" s="11">
        <v>-0.0771</v>
      </c>
      <c r="J19" s="11">
        <v>0.0252</v>
      </c>
      <c r="K19" s="11">
        <v>-0.1233</v>
      </c>
      <c r="L19" s="5" t="s">
        <v>48</v>
      </c>
    </row>
    <row r="20">
      <c r="A20" s="5" t="s">
        <v>66</v>
      </c>
      <c r="B20" s="11">
        <v>80.0</v>
      </c>
      <c r="C20" s="11">
        <v>0.8027</v>
      </c>
      <c r="D20" s="11">
        <v>0.5714</v>
      </c>
      <c r="E20" s="11">
        <v>0.1391</v>
      </c>
      <c r="F20" s="11">
        <v>0.5668</v>
      </c>
      <c r="G20" s="11">
        <v>0.3607</v>
      </c>
      <c r="H20" s="11">
        <v>0.0355</v>
      </c>
      <c r="I20" s="11">
        <v>-0.0162</v>
      </c>
      <c r="J20" s="11">
        <v>0.0597</v>
      </c>
      <c r="K20" s="11">
        <v>0.0641</v>
      </c>
      <c r="L20" s="5" t="s">
        <v>48</v>
      </c>
    </row>
    <row r="21" ht="15.75" customHeight="1">
      <c r="A21" s="5" t="s">
        <v>67</v>
      </c>
      <c r="B21" s="11">
        <v>164.0</v>
      </c>
      <c r="C21" s="11">
        <v>0.88</v>
      </c>
      <c r="D21" s="11">
        <v>0.7321</v>
      </c>
      <c r="E21" s="11">
        <v>-0.047</v>
      </c>
      <c r="F21" s="11">
        <v>0.6187</v>
      </c>
      <c r="G21" s="11">
        <v>0.0243</v>
      </c>
      <c r="H21" s="11">
        <v>0.1639</v>
      </c>
      <c r="I21" s="11">
        <v>0.2121</v>
      </c>
      <c r="J21" s="11">
        <v>0.1676</v>
      </c>
      <c r="K21" s="11">
        <v>0.0201</v>
      </c>
      <c r="L21" s="5" t="s">
        <v>48</v>
      </c>
    </row>
    <row r="22" ht="15.75" customHeight="1">
      <c r="A22" s="5" t="s">
        <v>68</v>
      </c>
      <c r="B22" s="11">
        <v>28.0</v>
      </c>
      <c r="C22" s="11">
        <v>0.4012</v>
      </c>
      <c r="D22" s="11">
        <v>0.3182</v>
      </c>
      <c r="E22" s="11">
        <v>0.1374</v>
      </c>
      <c r="F22" s="11">
        <v>0.1749</v>
      </c>
      <c r="G22" s="11">
        <v>0.1674</v>
      </c>
      <c r="H22" s="11">
        <v>-0.0695</v>
      </c>
      <c r="I22" s="11">
        <v>-0.1011</v>
      </c>
      <c r="J22" s="11">
        <v>0.2586</v>
      </c>
      <c r="K22" s="11">
        <v>-0.1972</v>
      </c>
      <c r="L22" s="5" t="s">
        <v>48</v>
      </c>
    </row>
    <row r="23" ht="15.75" customHeight="1">
      <c r="A23" s="5" t="s">
        <v>69</v>
      </c>
      <c r="B23" s="11">
        <v>21.0</v>
      </c>
      <c r="C23" s="11">
        <v>0.2275</v>
      </c>
      <c r="D23" s="11">
        <v>0.2593</v>
      </c>
      <c r="E23" s="11">
        <v>0.9967</v>
      </c>
      <c r="F23" s="11">
        <v>0.0065</v>
      </c>
      <c r="G23" s="11">
        <v>0.0916</v>
      </c>
      <c r="H23" s="11">
        <v>0.1186</v>
      </c>
      <c r="I23" s="11">
        <v>-0.04</v>
      </c>
      <c r="J23" s="11">
        <v>0.0615</v>
      </c>
      <c r="K23" s="11">
        <v>0.1981</v>
      </c>
      <c r="L23" s="5" t="s">
        <v>48</v>
      </c>
    </row>
    <row r="24" ht="15.75" customHeight="1">
      <c r="A24" s="5" t="s">
        <v>70</v>
      </c>
      <c r="B24" s="11">
        <v>287.0</v>
      </c>
      <c r="C24" s="11">
        <v>0.7009</v>
      </c>
      <c r="D24" s="11">
        <v>0.8271</v>
      </c>
      <c r="E24" s="11">
        <v>0.2367</v>
      </c>
      <c r="F24" s="11">
        <v>1.1025</v>
      </c>
      <c r="G24" s="11">
        <v>0.1505</v>
      </c>
      <c r="H24" s="11">
        <v>-0.4217</v>
      </c>
      <c r="I24" s="11">
        <v>-0.4492</v>
      </c>
      <c r="J24" s="11">
        <v>0.1839</v>
      </c>
      <c r="K24" s="11">
        <v>-0.1566</v>
      </c>
      <c r="L24" s="5" t="s">
        <v>48</v>
      </c>
    </row>
    <row r="25" ht="15.75" customHeight="1">
      <c r="A25" s="5" t="s">
        <v>71</v>
      </c>
      <c r="B25" s="11">
        <v>169.0</v>
      </c>
      <c r="C25" s="11">
        <v>0.7018</v>
      </c>
      <c r="D25" s="11">
        <v>0.738</v>
      </c>
      <c r="E25" s="11">
        <v>-0.0628</v>
      </c>
      <c r="F25" s="11">
        <v>0.5102</v>
      </c>
      <c r="G25" s="11">
        <v>-0.0201</v>
      </c>
      <c r="H25" s="11">
        <v>0.0374</v>
      </c>
      <c r="I25" s="11">
        <v>0.2774</v>
      </c>
      <c r="J25" s="11">
        <v>0.2056</v>
      </c>
      <c r="K25" s="11">
        <v>0.1294</v>
      </c>
      <c r="L25" s="5" t="s">
        <v>48</v>
      </c>
    </row>
    <row r="26" ht="15.75" customHeight="1">
      <c r="A26" s="5" t="s">
        <v>72</v>
      </c>
      <c r="B26" s="11">
        <v>164.0</v>
      </c>
      <c r="C26" s="11">
        <v>0.8099</v>
      </c>
      <c r="D26" s="11">
        <v>0.7321</v>
      </c>
      <c r="E26" s="11">
        <v>-0.0362</v>
      </c>
      <c r="F26" s="11">
        <v>0.5468</v>
      </c>
      <c r="G26" s="11">
        <v>-0.0588</v>
      </c>
      <c r="H26" s="11">
        <v>-0.0029</v>
      </c>
      <c r="I26" s="11">
        <v>0.2073</v>
      </c>
      <c r="J26" s="11">
        <v>0.109</v>
      </c>
      <c r="K26" s="11">
        <v>0.0936</v>
      </c>
      <c r="L26" s="5" t="s">
        <v>48</v>
      </c>
    </row>
    <row r="27" ht="15.75" customHeight="1">
      <c r="A27" s="5" t="s">
        <v>73</v>
      </c>
      <c r="B27" s="11">
        <v>89.0</v>
      </c>
      <c r="C27" s="11">
        <v>0.9445</v>
      </c>
      <c r="D27" s="11">
        <v>0.5973</v>
      </c>
      <c r="E27" s="11">
        <v>-0.1689</v>
      </c>
      <c r="F27" s="11">
        <v>0.5311</v>
      </c>
      <c r="G27" s="11">
        <v>0.0345</v>
      </c>
      <c r="H27" s="11">
        <v>0.1529</v>
      </c>
      <c r="I27" s="11">
        <v>0.1332</v>
      </c>
      <c r="J27" s="11">
        <v>0.0647</v>
      </c>
      <c r="K27" s="11">
        <v>0.009</v>
      </c>
      <c r="L27" s="5" t="s">
        <v>48</v>
      </c>
    </row>
    <row r="28" ht="15.75" customHeight="1">
      <c r="A28" s="5" t="s">
        <v>74</v>
      </c>
      <c r="B28" s="11">
        <v>88.0</v>
      </c>
      <c r="C28" s="11">
        <v>0.9776</v>
      </c>
      <c r="D28" s="11">
        <v>0.5946</v>
      </c>
      <c r="E28" s="11">
        <v>-0.0654</v>
      </c>
      <c r="F28" s="11">
        <v>0.5802</v>
      </c>
      <c r="G28" s="11">
        <v>0.2261</v>
      </c>
      <c r="H28" s="11">
        <v>0.0653</v>
      </c>
      <c r="I28" s="11">
        <v>0.0909</v>
      </c>
      <c r="J28" s="11">
        <v>-0.01</v>
      </c>
      <c r="K28" s="11">
        <v>0.0214</v>
      </c>
      <c r="L28" s="5" t="s">
        <v>48</v>
      </c>
    </row>
    <row r="29" ht="15.75" customHeight="1">
      <c r="A29" s="5" t="s">
        <v>75</v>
      </c>
      <c r="B29" s="11">
        <v>165.0</v>
      </c>
      <c r="C29" s="11">
        <v>0.7172</v>
      </c>
      <c r="D29" s="11">
        <v>0.7333</v>
      </c>
      <c r="E29" s="11">
        <v>0.2847</v>
      </c>
      <c r="F29" s="11">
        <v>0.7361</v>
      </c>
      <c r="G29" s="11">
        <v>0.3248</v>
      </c>
      <c r="H29" s="11">
        <v>0.0812</v>
      </c>
      <c r="I29" s="11">
        <v>-0.086</v>
      </c>
      <c r="J29" s="11">
        <v>0.0508</v>
      </c>
      <c r="K29" s="11">
        <v>0.0145</v>
      </c>
      <c r="L29" s="5" t="s">
        <v>48</v>
      </c>
    </row>
    <row r="30" ht="15.75" customHeight="1">
      <c r="A30" s="5" t="s">
        <v>76</v>
      </c>
      <c r="B30" s="11">
        <v>232.0</v>
      </c>
      <c r="C30" s="11">
        <v>0.616</v>
      </c>
      <c r="D30" s="11">
        <v>0.7945</v>
      </c>
      <c r="E30" s="11">
        <v>0.4009</v>
      </c>
      <c r="F30" s="11">
        <v>0.6828</v>
      </c>
      <c r="G30" s="11">
        <v>0.8258</v>
      </c>
      <c r="H30" s="11">
        <v>-0.4055</v>
      </c>
      <c r="I30" s="11">
        <v>-0.7566</v>
      </c>
      <c r="J30" s="11">
        <v>-0.1925</v>
      </c>
      <c r="K30" s="11">
        <v>0.1752</v>
      </c>
      <c r="L30" s="5" t="s">
        <v>48</v>
      </c>
    </row>
    <row r="31" ht="15.75" customHeight="1">
      <c r="A31" s="5" t="s">
        <v>77</v>
      </c>
      <c r="B31" s="11">
        <v>305.0</v>
      </c>
      <c r="C31" s="11">
        <v>0.5061</v>
      </c>
      <c r="D31" s="11">
        <v>0.8356</v>
      </c>
      <c r="E31" s="11">
        <v>-0.1679</v>
      </c>
      <c r="F31" s="11">
        <v>0.8737</v>
      </c>
      <c r="G31" s="11">
        <v>0.1344</v>
      </c>
      <c r="H31" s="11">
        <v>0.5354</v>
      </c>
      <c r="I31" s="11">
        <v>0.1811</v>
      </c>
      <c r="J31" s="11">
        <v>0.0734</v>
      </c>
      <c r="K31" s="11">
        <v>0.0385</v>
      </c>
      <c r="L31" s="5" t="s">
        <v>48</v>
      </c>
    </row>
    <row r="32" ht="15.75" customHeight="1">
      <c r="A32" s="5" t="s">
        <v>78</v>
      </c>
      <c r="B32" s="11">
        <v>232.0</v>
      </c>
      <c r="C32" s="11">
        <v>0.7001</v>
      </c>
      <c r="D32" s="11">
        <v>0.7945</v>
      </c>
      <c r="E32" s="11">
        <v>0.2202</v>
      </c>
      <c r="F32" s="11">
        <v>0.9927</v>
      </c>
      <c r="G32" s="11">
        <v>0.386</v>
      </c>
      <c r="H32" s="11">
        <v>-0.2517</v>
      </c>
      <c r="I32" s="11">
        <v>-0.1974</v>
      </c>
      <c r="J32" s="11">
        <v>-0.1579</v>
      </c>
      <c r="K32" s="11">
        <v>-0.079</v>
      </c>
      <c r="L32" s="5" t="s">
        <v>48</v>
      </c>
    </row>
    <row r="33" ht="15.75" customHeight="1">
      <c r="A33" s="5" t="s">
        <v>79</v>
      </c>
      <c r="B33" s="11">
        <v>123.0</v>
      </c>
      <c r="C33" s="11">
        <v>0.9097</v>
      </c>
      <c r="D33" s="11">
        <v>0.6721</v>
      </c>
      <c r="E33" s="11">
        <v>-0.0153</v>
      </c>
      <c r="F33" s="11">
        <v>0.6515</v>
      </c>
      <c r="G33" s="11">
        <v>0.0637</v>
      </c>
      <c r="H33" s="11">
        <v>-0.1279</v>
      </c>
      <c r="I33" s="11">
        <v>-0.1201</v>
      </c>
      <c r="J33" s="11">
        <v>0.0092</v>
      </c>
      <c r="K33" s="11">
        <v>-0.086</v>
      </c>
      <c r="L33" s="5" t="s">
        <v>48</v>
      </c>
    </row>
    <row r="34" ht="15.75" customHeight="1">
      <c r="A34" s="5" t="s">
        <v>80</v>
      </c>
      <c r="B34" s="11">
        <v>39.0</v>
      </c>
      <c r="C34" s="11">
        <v>0.2371</v>
      </c>
      <c r="D34" s="11">
        <v>0.3939</v>
      </c>
      <c r="E34" s="11">
        <v>0.2672</v>
      </c>
      <c r="F34" s="11">
        <v>-0.1254</v>
      </c>
      <c r="G34" s="11">
        <v>0.115</v>
      </c>
      <c r="H34" s="11">
        <v>0.1386</v>
      </c>
      <c r="I34" s="11">
        <v>0.0149</v>
      </c>
      <c r="J34" s="11">
        <v>-0.1784</v>
      </c>
      <c r="K34" s="11">
        <v>0.1181</v>
      </c>
      <c r="L34" s="5" t="s">
        <v>48</v>
      </c>
    </row>
    <row r="35" ht="15.75" customHeight="1">
      <c r="A35" s="5" t="s">
        <v>81</v>
      </c>
      <c r="B35" s="11">
        <v>39.0</v>
      </c>
      <c r="C35" s="11">
        <v>0.2371</v>
      </c>
      <c r="D35" s="11">
        <v>0.3939</v>
      </c>
      <c r="E35" s="11">
        <v>0.2672</v>
      </c>
      <c r="F35" s="11">
        <v>-0.1254</v>
      </c>
      <c r="G35" s="11">
        <v>0.115</v>
      </c>
      <c r="H35" s="11">
        <v>0.1386</v>
      </c>
      <c r="I35" s="11">
        <v>0.0149</v>
      </c>
      <c r="J35" s="11">
        <v>-0.1784</v>
      </c>
      <c r="K35" s="11">
        <v>0.1181</v>
      </c>
      <c r="L35" s="5" t="s">
        <v>48</v>
      </c>
    </row>
    <row r="36" ht="15.75" customHeight="1">
      <c r="A36" s="7" t="s">
        <v>82</v>
      </c>
      <c r="B36" s="12">
        <v>108.0</v>
      </c>
      <c r="C36" s="12">
        <v>0.1114</v>
      </c>
      <c r="D36" s="12">
        <v>0.6429</v>
      </c>
      <c r="E36" s="12">
        <v>0.5613</v>
      </c>
      <c r="F36" s="12">
        <v>0.2207</v>
      </c>
      <c r="G36" s="12">
        <v>0.0094</v>
      </c>
      <c r="H36" s="12">
        <v>0.1565</v>
      </c>
      <c r="I36" s="12">
        <v>0.0561</v>
      </c>
      <c r="J36" s="12">
        <v>-0.1496</v>
      </c>
      <c r="K36" s="12">
        <v>0.0394</v>
      </c>
      <c r="L36" s="5" t="s">
        <v>83</v>
      </c>
    </row>
    <row r="37" ht="15.75" customHeight="1">
      <c r="A37" s="7" t="s">
        <v>84</v>
      </c>
      <c r="B37" s="12">
        <v>108.0</v>
      </c>
      <c r="C37" s="12">
        <v>0.1866</v>
      </c>
      <c r="D37" s="12">
        <v>0.6429</v>
      </c>
      <c r="E37" s="12">
        <v>0.4059</v>
      </c>
      <c r="F37" s="12">
        <v>0.3207</v>
      </c>
      <c r="G37" s="12">
        <v>-0.027</v>
      </c>
      <c r="H37" s="12">
        <v>0.2847</v>
      </c>
      <c r="I37" s="12">
        <v>0.2071</v>
      </c>
      <c r="J37" s="12">
        <v>-0.3214</v>
      </c>
      <c r="K37" s="12">
        <v>0.1464</v>
      </c>
      <c r="L37" s="5" t="s">
        <v>83</v>
      </c>
    </row>
    <row r="38" ht="15.75" customHeight="1">
      <c r="A38" s="7" t="s">
        <v>85</v>
      </c>
      <c r="B38" s="12">
        <v>108.0</v>
      </c>
      <c r="C38" s="12">
        <v>0.4864</v>
      </c>
      <c r="D38" s="12">
        <v>0.6429</v>
      </c>
      <c r="E38" s="12">
        <v>0.1823</v>
      </c>
      <c r="F38" s="12">
        <v>0.585</v>
      </c>
      <c r="G38" s="12">
        <v>-0.0636</v>
      </c>
      <c r="H38" s="12">
        <v>-0.0581</v>
      </c>
      <c r="I38" s="12">
        <v>-0.0086</v>
      </c>
      <c r="J38" s="12">
        <v>0.0969</v>
      </c>
      <c r="K38" s="12">
        <v>0.0133</v>
      </c>
      <c r="L38" s="5" t="s">
        <v>83</v>
      </c>
    </row>
    <row r="39" ht="15.75" customHeight="1">
      <c r="A39" s="7" t="s">
        <v>86</v>
      </c>
      <c r="B39" s="12">
        <v>108.0</v>
      </c>
      <c r="C39" s="12">
        <v>0.6105</v>
      </c>
      <c r="D39" s="12">
        <v>0.6429</v>
      </c>
      <c r="E39" s="12">
        <v>0.2039</v>
      </c>
      <c r="F39" s="12">
        <v>0.6782</v>
      </c>
      <c r="G39" s="12">
        <v>-0.0554</v>
      </c>
      <c r="H39" s="12">
        <v>-0.2011</v>
      </c>
      <c r="I39" s="12">
        <v>0.13</v>
      </c>
      <c r="J39" s="12">
        <v>-0.106</v>
      </c>
      <c r="K39" s="12">
        <v>0.0159</v>
      </c>
      <c r="L39" s="5" t="s">
        <v>83</v>
      </c>
    </row>
    <row r="40" ht="15.75" customHeight="1">
      <c r="A40" s="7" t="s">
        <v>87</v>
      </c>
      <c r="B40" s="12">
        <v>54.0</v>
      </c>
      <c r="C40" s="12">
        <v>0.2192</v>
      </c>
      <c r="D40" s="12">
        <v>0.4737</v>
      </c>
      <c r="E40" s="12">
        <v>0.1876</v>
      </c>
      <c r="F40" s="12">
        <v>-0.1397</v>
      </c>
      <c r="G40" s="12">
        <v>-0.0493</v>
      </c>
      <c r="H40" s="12">
        <v>0.0763</v>
      </c>
      <c r="I40" s="12">
        <v>-0.1657</v>
      </c>
      <c r="J40" s="12">
        <v>0.0164</v>
      </c>
      <c r="K40" s="12">
        <v>0.0206</v>
      </c>
      <c r="L40" s="5" t="s">
        <v>83</v>
      </c>
    </row>
    <row r="41" ht="15.75" customHeight="1">
      <c r="A41" s="7" t="s">
        <v>88</v>
      </c>
      <c r="B41" s="12">
        <v>73.0</v>
      </c>
      <c r="C41" s="12">
        <v>0.0938</v>
      </c>
      <c r="D41" s="12">
        <v>0.5489</v>
      </c>
      <c r="E41" s="12">
        <v>0.2475</v>
      </c>
      <c r="F41" s="12">
        <v>-0.0408</v>
      </c>
      <c r="G41" s="12">
        <v>0.0477</v>
      </c>
      <c r="H41" s="12">
        <v>0.049</v>
      </c>
      <c r="I41" s="12">
        <v>8.0E-4</v>
      </c>
      <c r="J41" s="12">
        <v>0.0101</v>
      </c>
      <c r="K41" s="12">
        <v>0.1119</v>
      </c>
      <c r="L41" s="5" t="s">
        <v>83</v>
      </c>
    </row>
    <row r="42" ht="15.75" customHeight="1">
      <c r="A42" s="7" t="s">
        <v>89</v>
      </c>
      <c r="B42" s="12">
        <v>69.0</v>
      </c>
      <c r="C42" s="12">
        <v>0.8115</v>
      </c>
      <c r="D42" s="12">
        <v>0.5349</v>
      </c>
      <c r="E42" s="12">
        <v>-0.0241</v>
      </c>
      <c r="F42" s="12">
        <v>0.45</v>
      </c>
      <c r="G42" s="12">
        <v>0.0524</v>
      </c>
      <c r="H42" s="12">
        <v>0.1395</v>
      </c>
      <c r="I42" s="12">
        <v>0.1027</v>
      </c>
      <c r="J42" s="12">
        <v>0.0753</v>
      </c>
      <c r="K42" s="12">
        <v>-0.1445</v>
      </c>
      <c r="L42" s="5" t="s">
        <v>83</v>
      </c>
    </row>
    <row r="43" ht="15.75" customHeight="1">
      <c r="A43" s="7" t="s">
        <v>90</v>
      </c>
      <c r="B43" s="12">
        <v>45.0</v>
      </c>
      <c r="C43" s="12">
        <v>0.6412</v>
      </c>
      <c r="D43" s="12">
        <v>0.4286</v>
      </c>
      <c r="E43" s="12">
        <v>-0.0279</v>
      </c>
      <c r="F43" s="12">
        <v>0.2579</v>
      </c>
      <c r="G43" s="12">
        <v>-0.0884</v>
      </c>
      <c r="H43" s="12">
        <v>-0.0484</v>
      </c>
      <c r="I43" s="12">
        <v>-0.0406</v>
      </c>
      <c r="J43" s="12">
        <v>0.2656</v>
      </c>
      <c r="K43" s="12">
        <v>-0.2311</v>
      </c>
      <c r="L43" s="5" t="s">
        <v>83</v>
      </c>
    </row>
    <row r="44" ht="15.75" customHeight="1">
      <c r="A44" s="7" t="s">
        <v>91</v>
      </c>
      <c r="B44" s="12">
        <v>72.0</v>
      </c>
      <c r="C44" s="12">
        <v>0.7028</v>
      </c>
      <c r="D44" s="12">
        <v>0.5455</v>
      </c>
      <c r="E44" s="12">
        <v>0.197</v>
      </c>
      <c r="F44" s="12">
        <v>0.4702</v>
      </c>
      <c r="G44" s="12">
        <v>0.0512</v>
      </c>
      <c r="H44" s="12">
        <v>-0.1565</v>
      </c>
      <c r="I44" s="12">
        <v>-0.3153</v>
      </c>
      <c r="J44" s="12">
        <v>-0.0098</v>
      </c>
      <c r="K44" s="12">
        <v>0.0916</v>
      </c>
      <c r="L44" s="5" t="s">
        <v>83</v>
      </c>
    </row>
    <row r="45" ht="15.75" customHeight="1">
      <c r="A45" s="7" t="s">
        <v>92</v>
      </c>
      <c r="B45" s="12">
        <v>81.0</v>
      </c>
      <c r="C45" s="12">
        <v>0.7674</v>
      </c>
      <c r="D45" s="12">
        <v>0.5745</v>
      </c>
      <c r="E45" s="12">
        <v>0.4974</v>
      </c>
      <c r="F45" s="12">
        <v>0.6034</v>
      </c>
      <c r="G45" s="12">
        <v>0.1311</v>
      </c>
      <c r="H45" s="12">
        <v>-0.1485</v>
      </c>
      <c r="I45" s="12">
        <v>-0.0718</v>
      </c>
      <c r="J45" s="12">
        <v>0.0651</v>
      </c>
      <c r="K45" s="12">
        <v>-0.0942</v>
      </c>
      <c r="L45" s="5" t="s">
        <v>83</v>
      </c>
    </row>
    <row r="46" ht="15.75" customHeight="1">
      <c r="A46" s="7" t="s">
        <v>93</v>
      </c>
      <c r="B46" s="12">
        <v>84.0</v>
      </c>
      <c r="C46" s="12">
        <v>0.0567</v>
      </c>
      <c r="D46" s="12">
        <v>0.5833</v>
      </c>
      <c r="E46" s="12">
        <v>0.429</v>
      </c>
      <c r="F46" s="12">
        <v>0.0795</v>
      </c>
      <c r="G46" s="12">
        <v>-0.136</v>
      </c>
      <c r="H46" s="12">
        <v>-0.0338</v>
      </c>
      <c r="I46" s="12">
        <v>0.0518</v>
      </c>
      <c r="J46" s="12">
        <v>0.0665</v>
      </c>
      <c r="K46" s="12">
        <v>-0.0048</v>
      </c>
      <c r="L46" s="5" t="s">
        <v>83</v>
      </c>
    </row>
    <row r="47" ht="15.75" customHeight="1">
      <c r="A47" s="7" t="s">
        <v>94</v>
      </c>
      <c r="B47" s="12">
        <v>108.0</v>
      </c>
      <c r="C47" s="12">
        <v>0.9968</v>
      </c>
      <c r="D47" s="12">
        <v>0.6429</v>
      </c>
      <c r="E47" s="12">
        <v>-0.0178</v>
      </c>
      <c r="F47" s="12">
        <v>0.6296</v>
      </c>
      <c r="G47" s="12">
        <v>-0.0696</v>
      </c>
      <c r="H47" s="12">
        <v>0.0048</v>
      </c>
      <c r="I47" s="12">
        <v>0.0476</v>
      </c>
      <c r="J47" s="12">
        <v>0.0252</v>
      </c>
      <c r="K47" s="12">
        <v>-0.0062</v>
      </c>
      <c r="L47" s="5" t="s">
        <v>83</v>
      </c>
    </row>
    <row r="48" ht="15.75" customHeight="1">
      <c r="A48" s="9" t="s">
        <v>95</v>
      </c>
      <c r="B48" s="13">
        <v>69.0</v>
      </c>
      <c r="C48" s="13">
        <v>0.994912</v>
      </c>
      <c r="D48" s="13">
        <v>0.534884</v>
      </c>
      <c r="E48" s="13">
        <v>-0.023909</v>
      </c>
      <c r="F48" s="13">
        <v>0.537944</v>
      </c>
      <c r="G48" s="13">
        <v>0.061804</v>
      </c>
      <c r="H48" s="13">
        <v>0.085709</v>
      </c>
      <c r="I48" s="13">
        <v>0.034855</v>
      </c>
      <c r="J48" s="13">
        <v>0.004324</v>
      </c>
      <c r="K48" s="13">
        <v>0.009532</v>
      </c>
      <c r="L48" s="5" t="s">
        <v>96</v>
      </c>
    </row>
    <row r="49" ht="15.75" customHeight="1">
      <c r="A49" s="9" t="s">
        <v>97</v>
      </c>
      <c r="B49" s="13">
        <v>41.0</v>
      </c>
      <c r="C49" s="13">
        <v>0.355034</v>
      </c>
      <c r="D49" s="13">
        <v>0.405941</v>
      </c>
      <c r="E49" s="13">
        <v>1.684222</v>
      </c>
      <c r="F49" s="13">
        <v>0.562042</v>
      </c>
      <c r="G49" s="13">
        <v>0.135706</v>
      </c>
      <c r="H49" s="13">
        <v>-0.337872</v>
      </c>
      <c r="I49" s="13">
        <v>-0.256122</v>
      </c>
      <c r="J49" s="13">
        <v>0.084283</v>
      </c>
      <c r="K49" s="13">
        <v>0.607364</v>
      </c>
      <c r="L49" s="5" t="s">
        <v>96</v>
      </c>
    </row>
    <row r="50" ht="15.75" customHeight="1">
      <c r="A50" s="5" t="s">
        <v>98</v>
      </c>
      <c r="B50" s="11">
        <v>131.0</v>
      </c>
      <c r="C50" s="11">
        <v>0.7514</v>
      </c>
      <c r="D50" s="11">
        <v>0.66854</v>
      </c>
      <c r="E50" s="11">
        <v>0.22646</v>
      </c>
      <c r="F50" s="11">
        <v>0.66838</v>
      </c>
      <c r="G50" s="11">
        <v>0.33916</v>
      </c>
      <c r="H50" s="11">
        <v>0.06292</v>
      </c>
      <c r="I50" s="11">
        <v>-0.05808</v>
      </c>
      <c r="J50" s="11">
        <v>0.05436</v>
      </c>
      <c r="K50" s="11">
        <v>0.03434</v>
      </c>
      <c r="L50" s="5" t="s">
        <v>99</v>
      </c>
    </row>
    <row r="51" ht="15.75" customHeight="1">
      <c r="A51" s="9" t="s">
        <v>100</v>
      </c>
      <c r="B51" s="13">
        <v>120.0</v>
      </c>
      <c r="C51" s="13">
        <v>0.387996</v>
      </c>
      <c r="D51" s="13">
        <v>0.666667</v>
      </c>
      <c r="E51" s="13">
        <v>0.026134</v>
      </c>
      <c r="F51" s="13">
        <v>0.473829</v>
      </c>
      <c r="G51" s="13">
        <v>0.040929</v>
      </c>
      <c r="H51" s="13">
        <v>0.289188</v>
      </c>
      <c r="I51" s="13">
        <v>0.202098</v>
      </c>
      <c r="J51" s="13">
        <v>-0.029727</v>
      </c>
      <c r="K51" s="13">
        <v>0.050451</v>
      </c>
      <c r="L51" s="5" t="s">
        <v>96</v>
      </c>
    </row>
    <row r="52" ht="15.75" customHeight="1">
      <c r="A52" s="5" t="s">
        <v>101</v>
      </c>
      <c r="B52" s="11">
        <v>84.0</v>
      </c>
      <c r="C52" s="11">
        <v>0.0567</v>
      </c>
      <c r="D52" s="11">
        <v>0.5833</v>
      </c>
      <c r="E52" s="11">
        <v>0.429</v>
      </c>
      <c r="F52" s="11">
        <v>0.0795</v>
      </c>
      <c r="G52" s="11">
        <v>-0.136</v>
      </c>
      <c r="H52" s="11">
        <v>-0.0338</v>
      </c>
      <c r="I52" s="11">
        <v>0.0518</v>
      </c>
      <c r="J52" s="11">
        <v>0.0665</v>
      </c>
      <c r="K52" s="11">
        <v>-0.0048</v>
      </c>
      <c r="L52" s="5" t="s">
        <v>99</v>
      </c>
    </row>
    <row r="53" ht="15.75" customHeight="1">
      <c r="A53" s="9" t="s">
        <v>102</v>
      </c>
      <c r="B53" s="13">
        <v>127.0</v>
      </c>
      <c r="C53" s="13">
        <v>0.689085</v>
      </c>
      <c r="D53" s="13">
        <v>0.679144</v>
      </c>
      <c r="E53" s="13">
        <v>0.170249</v>
      </c>
      <c r="F53" s="13">
        <v>0.64444</v>
      </c>
      <c r="G53" s="13">
        <v>0.045294</v>
      </c>
      <c r="H53" s="13">
        <v>-0.197245</v>
      </c>
      <c r="I53" s="13">
        <v>-0.399054</v>
      </c>
      <c r="J53" s="13">
        <v>-0.05127</v>
      </c>
      <c r="K53" s="13">
        <v>0.020427</v>
      </c>
      <c r="L53" s="5" t="s">
        <v>96</v>
      </c>
    </row>
    <row r="54" ht="15.75" customHeight="1">
      <c r="A54" s="5" t="s">
        <v>103</v>
      </c>
      <c r="B54" s="11">
        <v>114.0</v>
      </c>
      <c r="C54" s="11">
        <v>0.385299</v>
      </c>
      <c r="D54" s="11">
        <v>0.654783</v>
      </c>
      <c r="E54" s="11">
        <v>0.355473</v>
      </c>
      <c r="F54" s="11">
        <v>0.516978</v>
      </c>
      <c r="G54" s="11">
        <v>0.038851</v>
      </c>
      <c r="H54" s="11">
        <v>0.093705</v>
      </c>
      <c r="I54" s="11">
        <v>0.137818</v>
      </c>
      <c r="J54" s="11">
        <v>-0.126005</v>
      </c>
      <c r="K54" s="11">
        <v>0.160611</v>
      </c>
      <c r="L54" s="5" t="s">
        <v>99</v>
      </c>
    </row>
    <row r="55" ht="15.75" customHeight="1">
      <c r="A55" s="9" t="s">
        <v>104</v>
      </c>
      <c r="B55" s="13">
        <v>275.0</v>
      </c>
      <c r="C55" s="13">
        <v>0.070169</v>
      </c>
      <c r="D55" s="13">
        <v>0.820896</v>
      </c>
      <c r="E55" s="13">
        <v>0.140493</v>
      </c>
      <c r="F55" s="13">
        <v>-0.020322</v>
      </c>
      <c r="G55" s="13">
        <v>-0.030079</v>
      </c>
      <c r="H55" s="13">
        <v>-0.096099</v>
      </c>
      <c r="I55" s="13">
        <v>0.096169</v>
      </c>
      <c r="J55" s="13">
        <v>-0.011631</v>
      </c>
      <c r="K55" s="13">
        <v>-0.010034</v>
      </c>
      <c r="L55" s="5" t="s">
        <v>96</v>
      </c>
    </row>
    <row r="56" ht="15.75" customHeight="1">
      <c r="A56" s="5" t="s">
        <v>105</v>
      </c>
      <c r="B56" s="11">
        <v>275.0</v>
      </c>
      <c r="C56" s="11">
        <v>0.070169</v>
      </c>
      <c r="D56" s="11">
        <v>0.820896</v>
      </c>
      <c r="E56" s="11">
        <v>0.140493</v>
      </c>
      <c r="F56" s="11">
        <v>-0.020322</v>
      </c>
      <c r="G56" s="11">
        <v>-0.030079</v>
      </c>
      <c r="H56" s="11">
        <v>-0.096099</v>
      </c>
      <c r="I56" s="11">
        <v>0.096169</v>
      </c>
      <c r="J56" s="11">
        <v>-0.011631</v>
      </c>
      <c r="K56" s="11">
        <v>-0.010034</v>
      </c>
      <c r="L56" s="5" t="s">
        <v>99</v>
      </c>
    </row>
    <row r="57" ht="15.75" customHeight="1">
      <c r="A57" s="9" t="s">
        <v>106</v>
      </c>
      <c r="B57" s="13">
        <v>229.0</v>
      </c>
      <c r="C57" s="13">
        <v>0.702909</v>
      </c>
      <c r="D57" s="13">
        <v>0.792388</v>
      </c>
      <c r="E57" s="13">
        <v>0.222614</v>
      </c>
      <c r="F57" s="13">
        <v>0.755801</v>
      </c>
      <c r="G57" s="13">
        <v>0.173585</v>
      </c>
      <c r="H57" s="13">
        <v>0.200485</v>
      </c>
      <c r="I57" s="13">
        <v>0.058387</v>
      </c>
      <c r="J57" s="13">
        <v>-0.019398</v>
      </c>
      <c r="K57" s="13">
        <v>-0.036584</v>
      </c>
      <c r="L57" s="5" t="s">
        <v>96</v>
      </c>
    </row>
    <row r="58" ht="15.75" customHeight="1">
      <c r="A58" s="9" t="s">
        <v>107</v>
      </c>
      <c r="B58" s="13">
        <v>152.0</v>
      </c>
      <c r="C58" s="13">
        <v>0.729705</v>
      </c>
      <c r="D58" s="13">
        <v>0.716981</v>
      </c>
      <c r="E58" s="13">
        <v>-0.225422</v>
      </c>
      <c r="F58" s="13">
        <v>0.554588</v>
      </c>
      <c r="G58" s="13">
        <v>-0.07921</v>
      </c>
      <c r="H58" s="13">
        <v>0.053605</v>
      </c>
      <c r="I58" s="13">
        <v>-0.015444</v>
      </c>
      <c r="J58" s="13">
        <v>0.07379</v>
      </c>
      <c r="K58" s="13">
        <v>-0.128325</v>
      </c>
      <c r="L58" s="5" t="s">
        <v>96</v>
      </c>
    </row>
    <row r="59" ht="15.75" customHeight="1">
      <c r="A59" s="9" t="s">
        <v>108</v>
      </c>
      <c r="B59" s="13">
        <v>91.0</v>
      </c>
      <c r="C59" s="13">
        <v>0.945199</v>
      </c>
      <c r="D59" s="13">
        <v>0.602649</v>
      </c>
      <c r="E59" s="13">
        <v>0.022868</v>
      </c>
      <c r="F59" s="13">
        <v>0.543198</v>
      </c>
      <c r="G59" s="13">
        <v>-0.007491</v>
      </c>
      <c r="H59" s="13">
        <v>-0.014118</v>
      </c>
      <c r="I59" s="13">
        <v>0.107802</v>
      </c>
      <c r="J59" s="13">
        <v>0.046871</v>
      </c>
      <c r="K59" s="13">
        <v>0.026198</v>
      </c>
      <c r="L59" s="5" t="s">
        <v>96</v>
      </c>
    </row>
    <row r="60" ht="15.75" customHeight="1">
      <c r="A60" s="9" t="s">
        <v>109</v>
      </c>
      <c r="B60" s="13">
        <v>120.0</v>
      </c>
      <c r="C60" s="13">
        <v>0.294589</v>
      </c>
      <c r="D60" s="13">
        <v>0.666667</v>
      </c>
      <c r="E60" s="13">
        <v>0.080767</v>
      </c>
      <c r="F60" s="13">
        <v>0.450271</v>
      </c>
      <c r="G60" s="13">
        <v>-0.012507</v>
      </c>
      <c r="H60" s="13">
        <v>0.20464</v>
      </c>
      <c r="I60" s="13">
        <v>0.360284</v>
      </c>
      <c r="J60" s="13">
        <v>0.174864</v>
      </c>
      <c r="K60" s="13">
        <v>0.221352</v>
      </c>
      <c r="L60" s="5" t="s">
        <v>96</v>
      </c>
    </row>
    <row r="61" ht="15.75" customHeight="1">
      <c r="A61" s="9" t="s">
        <v>110</v>
      </c>
      <c r="B61" s="13">
        <v>120.0</v>
      </c>
      <c r="C61" s="13">
        <v>0.528165</v>
      </c>
      <c r="D61" s="13">
        <v>0.666667</v>
      </c>
      <c r="E61" s="13">
        <v>0.716849</v>
      </c>
      <c r="F61" s="13">
        <v>0.682256</v>
      </c>
      <c r="G61" s="13">
        <v>0.016875</v>
      </c>
      <c r="H61" s="13">
        <v>-0.159058</v>
      </c>
      <c r="I61" s="13">
        <v>-0.040737</v>
      </c>
      <c r="J61" s="13">
        <v>-0.366605</v>
      </c>
      <c r="K61" s="13">
        <v>-0.032155</v>
      </c>
      <c r="L61" s="5" t="s">
        <v>96</v>
      </c>
    </row>
    <row r="62" ht="15.75" customHeight="1">
      <c r="A62" s="9" t="s">
        <v>111</v>
      </c>
      <c r="B62" s="13">
        <v>120.0</v>
      </c>
      <c r="C62" s="13">
        <v>0.464078</v>
      </c>
      <c r="D62" s="13">
        <v>0.666667</v>
      </c>
      <c r="E62" s="13">
        <v>0.394485</v>
      </c>
      <c r="F62" s="13">
        <v>0.607536</v>
      </c>
      <c r="G62" s="13">
        <v>0.119341</v>
      </c>
      <c r="H62" s="13">
        <v>0.03983</v>
      </c>
      <c r="I62" s="13">
        <v>0.154816</v>
      </c>
      <c r="J62" s="13">
        <v>-0.09793</v>
      </c>
      <c r="K62" s="13">
        <v>0.228063</v>
      </c>
      <c r="L62" s="5" t="s">
        <v>96</v>
      </c>
    </row>
    <row r="63" ht="15.75" customHeight="1">
      <c r="A63" s="9" t="s">
        <v>112</v>
      </c>
      <c r="B63" s="13">
        <v>120.0</v>
      </c>
      <c r="C63" s="13">
        <v>0.243558</v>
      </c>
      <c r="D63" s="13">
        <v>0.666667</v>
      </c>
      <c r="E63" s="13">
        <v>0.233354</v>
      </c>
      <c r="F63" s="13">
        <v>0.374786</v>
      </c>
      <c r="G63" s="13">
        <v>0.079855</v>
      </c>
      <c r="H63" s="13">
        <v>0.257473</v>
      </c>
      <c r="I63" s="13">
        <v>0.365476</v>
      </c>
      <c r="J63" s="13">
        <v>0.025112</v>
      </c>
      <c r="K63" s="13">
        <v>0.359364</v>
      </c>
      <c r="L63" s="5" t="s">
        <v>96</v>
      </c>
    </row>
    <row r="64" ht="15.75" customHeight="1">
      <c r="A64" s="9" t="s">
        <v>113</v>
      </c>
      <c r="B64" s="13">
        <v>236.0</v>
      </c>
      <c r="C64" s="13">
        <v>0.742128</v>
      </c>
      <c r="D64" s="13">
        <v>0.797297</v>
      </c>
      <c r="E64" s="13">
        <v>0.229237</v>
      </c>
      <c r="F64" s="13">
        <v>0.758943</v>
      </c>
      <c r="G64" s="13">
        <v>0.102064</v>
      </c>
      <c r="H64" s="13">
        <v>0.133114</v>
      </c>
      <c r="I64" s="13">
        <v>-0.010015</v>
      </c>
      <c r="J64" s="13">
        <v>0.02</v>
      </c>
      <c r="K64" s="13">
        <v>0.00299</v>
      </c>
      <c r="L64" s="5" t="s">
        <v>96</v>
      </c>
    </row>
    <row r="65" ht="15.75" customHeight="1">
      <c r="A65" s="5" t="s">
        <v>114</v>
      </c>
      <c r="B65" s="11">
        <v>136.8</v>
      </c>
      <c r="C65" s="11">
        <v>0.82192</v>
      </c>
      <c r="D65" s="11">
        <v>0.69066</v>
      </c>
      <c r="E65" s="11">
        <v>0.20246</v>
      </c>
      <c r="F65" s="11">
        <v>0.74131</v>
      </c>
      <c r="G65" s="11">
        <v>0.49472</v>
      </c>
      <c r="H65" s="11">
        <v>0.1382</v>
      </c>
      <c r="I65" s="11">
        <v>0.10323</v>
      </c>
      <c r="J65" s="11">
        <v>-0.07952</v>
      </c>
      <c r="K65" s="11">
        <v>0.02176</v>
      </c>
      <c r="L65" s="5" t="s">
        <v>99</v>
      </c>
    </row>
    <row r="66" ht="15.75" customHeight="1">
      <c r="A66" s="9" t="s">
        <v>115</v>
      </c>
      <c r="B66" s="13">
        <v>120.0</v>
      </c>
      <c r="C66" s="13">
        <v>0.453768</v>
      </c>
      <c r="D66" s="13">
        <v>0.666667</v>
      </c>
      <c r="E66" s="13">
        <v>0.017177</v>
      </c>
      <c r="F66" s="13">
        <v>0.568011</v>
      </c>
      <c r="G66" s="13">
        <v>0.032799</v>
      </c>
      <c r="H66" s="13">
        <v>0.347021</v>
      </c>
      <c r="I66" s="13">
        <v>0.304079</v>
      </c>
      <c r="J66" s="13">
        <v>0.04476</v>
      </c>
      <c r="K66" s="13">
        <v>-0.10263</v>
      </c>
      <c r="L66" s="5" t="s">
        <v>96</v>
      </c>
    </row>
    <row r="67" ht="15.75" customHeight="1">
      <c r="A67" s="9" t="s">
        <v>116</v>
      </c>
      <c r="B67" s="13">
        <v>300.0</v>
      </c>
      <c r="C67" s="13">
        <v>0.681778</v>
      </c>
      <c r="D67" s="13">
        <v>0.833333</v>
      </c>
      <c r="E67" s="13">
        <v>0.359582</v>
      </c>
      <c r="F67" s="13">
        <v>1.095731</v>
      </c>
      <c r="G67" s="13">
        <v>0.070743</v>
      </c>
      <c r="H67" s="13">
        <v>-0.456728</v>
      </c>
      <c r="I67" s="13">
        <v>-0.446521</v>
      </c>
      <c r="J67" s="13">
        <v>0.117691</v>
      </c>
      <c r="K67" s="13">
        <v>-0.152208</v>
      </c>
      <c r="L67" s="5" t="s">
        <v>96</v>
      </c>
    </row>
    <row r="68" ht="15.75" customHeight="1">
      <c r="A68" s="9" t="s">
        <v>117</v>
      </c>
      <c r="B68" s="13">
        <v>66.0</v>
      </c>
      <c r="C68" s="13">
        <v>0.287406</v>
      </c>
      <c r="D68" s="13">
        <v>0.52381</v>
      </c>
      <c r="E68" s="13">
        <v>1.073441</v>
      </c>
      <c r="F68" s="13">
        <v>0.55511</v>
      </c>
      <c r="G68" s="13">
        <v>0.206755</v>
      </c>
      <c r="H68" s="13">
        <v>0.100663</v>
      </c>
      <c r="I68" s="13">
        <v>-0.188149</v>
      </c>
      <c r="J68" s="13">
        <v>-0.153118</v>
      </c>
      <c r="K68" s="13">
        <v>-0.106726</v>
      </c>
      <c r="L68" s="5" t="s">
        <v>96</v>
      </c>
    </row>
    <row r="69" ht="15.75" customHeight="1">
      <c r="A69" s="5" t="s">
        <v>118</v>
      </c>
      <c r="B69" s="11">
        <v>108.0</v>
      </c>
      <c r="C69" s="11">
        <v>0.9968</v>
      </c>
      <c r="D69" s="11">
        <v>0.6429</v>
      </c>
      <c r="E69" s="11">
        <v>-0.0178</v>
      </c>
      <c r="F69" s="11">
        <v>0.6296</v>
      </c>
      <c r="G69" s="11">
        <v>-0.0696</v>
      </c>
      <c r="H69" s="11">
        <v>0.0048</v>
      </c>
      <c r="I69" s="11">
        <v>0.0476</v>
      </c>
      <c r="J69" s="11">
        <v>0.0252</v>
      </c>
      <c r="K69" s="11">
        <v>-0.0062</v>
      </c>
      <c r="L69" s="5" t="s">
        <v>99</v>
      </c>
    </row>
    <row r="70" ht="15.75" customHeight="1">
      <c r="A70" s="5" t="s">
        <v>119</v>
      </c>
      <c r="B70" s="11">
        <v>123.51</v>
      </c>
      <c r="C70" s="11">
        <v>0.8764</v>
      </c>
      <c r="D70" s="11">
        <v>0.664355</v>
      </c>
      <c r="E70" s="11">
        <v>-0.111902</v>
      </c>
      <c r="F70" s="11">
        <v>0.585762</v>
      </c>
      <c r="G70" s="11">
        <v>-0.05947</v>
      </c>
      <c r="H70" s="11">
        <v>0.035662</v>
      </c>
      <c r="I70" s="11">
        <v>0.017828</v>
      </c>
      <c r="J70" s="11">
        <v>0.044769</v>
      </c>
      <c r="K70" s="11">
        <v>-0.059426</v>
      </c>
      <c r="L70" s="5" t="s">
        <v>99</v>
      </c>
    </row>
    <row r="71" ht="15.75" customHeight="1">
      <c r="A71" s="5" t="s">
        <v>120</v>
      </c>
      <c r="B71" s="11">
        <v>100.2</v>
      </c>
      <c r="C71" s="11">
        <v>0.996422</v>
      </c>
      <c r="D71" s="11">
        <v>0.621297</v>
      </c>
      <c r="E71" s="11">
        <v>-0.019022</v>
      </c>
      <c r="F71" s="11">
        <v>0.611269</v>
      </c>
      <c r="G71" s="11">
        <v>-0.043319</v>
      </c>
      <c r="H71" s="11">
        <v>0.020982</v>
      </c>
      <c r="I71" s="11">
        <v>0.045051</v>
      </c>
      <c r="J71" s="11">
        <v>0.021025</v>
      </c>
      <c r="K71" s="11">
        <v>-0.003054</v>
      </c>
      <c r="L71" s="5" t="s">
        <v>99</v>
      </c>
    </row>
    <row r="72" ht="15.75" customHeight="1">
      <c r="A72" s="5" t="s">
        <v>121</v>
      </c>
      <c r="B72" s="11">
        <v>100.2</v>
      </c>
      <c r="C72" s="11">
        <v>0.996422</v>
      </c>
      <c r="D72" s="11">
        <v>0.621297</v>
      </c>
      <c r="E72" s="11">
        <v>-0.019022</v>
      </c>
      <c r="F72" s="11">
        <v>0.611269</v>
      </c>
      <c r="G72" s="11">
        <v>-0.043319</v>
      </c>
      <c r="H72" s="11">
        <v>0.020982</v>
      </c>
      <c r="I72" s="11">
        <v>0.045051</v>
      </c>
      <c r="J72" s="11">
        <v>0.021025</v>
      </c>
      <c r="K72" s="11">
        <v>-0.003054</v>
      </c>
      <c r="L72" s="5" t="s">
        <v>99</v>
      </c>
    </row>
    <row r="73" ht="15.75" customHeight="1">
      <c r="A73" s="9" t="s">
        <v>122</v>
      </c>
      <c r="B73" s="13">
        <v>318.0</v>
      </c>
      <c r="C73" s="13">
        <v>0.604712</v>
      </c>
      <c r="D73" s="13">
        <v>0.84127</v>
      </c>
      <c r="E73" s="13">
        <v>0.061195</v>
      </c>
      <c r="F73" s="13">
        <v>0.627032</v>
      </c>
      <c r="G73" s="13">
        <v>-0.13844</v>
      </c>
      <c r="H73" s="13">
        <v>-0.056261</v>
      </c>
      <c r="I73" s="13">
        <v>0.07288</v>
      </c>
      <c r="J73" s="13">
        <v>0.11461</v>
      </c>
      <c r="K73" s="13">
        <v>-0.006863</v>
      </c>
      <c r="L73" s="5" t="s">
        <v>96</v>
      </c>
    </row>
    <row r="74" ht="15.75" customHeight="1">
      <c r="A74" s="5" t="s">
        <v>123</v>
      </c>
      <c r="B74" s="11">
        <v>227.2</v>
      </c>
      <c r="C74" s="11">
        <v>0.740907</v>
      </c>
      <c r="D74" s="11">
        <v>0.745822</v>
      </c>
      <c r="E74" s="11">
        <v>0.045864</v>
      </c>
      <c r="F74" s="11">
        <v>0.593498</v>
      </c>
      <c r="G74" s="11">
        <v>-0.08606</v>
      </c>
      <c r="H74" s="11">
        <v>-0.039404</v>
      </c>
      <c r="I74" s="11">
        <v>0.086848</v>
      </c>
      <c r="J74" s="11">
        <v>0.087515</v>
      </c>
      <c r="K74" s="11">
        <v>0.006362</v>
      </c>
      <c r="L74" s="5" t="s">
        <v>99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3.0"/>
    <col customWidth="1" min="2" max="21" width="10.0"/>
    <col customWidth="1" min="22" max="22" width="24.0"/>
    <col customWidth="1" min="23" max="26" width="8.71"/>
  </cols>
  <sheetData>
    <row r="1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32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  <c r="N1" s="4" t="s">
        <v>38</v>
      </c>
      <c r="O1" s="4" t="s">
        <v>39</v>
      </c>
      <c r="P1" s="4" t="s">
        <v>40</v>
      </c>
      <c r="Q1" s="4" t="s">
        <v>41</v>
      </c>
      <c r="R1" s="4" t="s">
        <v>42</v>
      </c>
      <c r="S1" s="4" t="s">
        <v>43</v>
      </c>
      <c r="T1" s="4" t="s">
        <v>44</v>
      </c>
      <c r="U1" s="4" t="s">
        <v>45</v>
      </c>
      <c r="V1" s="4" t="s">
        <v>46</v>
      </c>
    </row>
    <row r="2">
      <c r="A2" s="5" t="s">
        <v>47</v>
      </c>
      <c r="B2" s="14">
        <v>1.5</v>
      </c>
      <c r="C2" s="14">
        <v>2.5</v>
      </c>
      <c r="D2" s="14">
        <v>0.0</v>
      </c>
      <c r="E2" s="14">
        <v>0.0</v>
      </c>
      <c r="F2" s="14">
        <v>-2.0</v>
      </c>
      <c r="G2" s="14">
        <v>0.0</v>
      </c>
      <c r="H2" s="14">
        <v>0.0</v>
      </c>
      <c r="I2" s="14">
        <v>0.0</v>
      </c>
      <c r="J2" s="14">
        <v>0.0</v>
      </c>
      <c r="K2" s="14">
        <v>0.0</v>
      </c>
      <c r="L2" s="14">
        <v>-2.0</v>
      </c>
      <c r="M2" s="14">
        <v>0.0</v>
      </c>
      <c r="N2" s="14">
        <v>-1.5</v>
      </c>
      <c r="O2" s="14">
        <v>2.0</v>
      </c>
      <c r="P2" s="14">
        <v>-2.0</v>
      </c>
      <c r="Q2" s="14">
        <v>1.0</v>
      </c>
      <c r="R2" s="14">
        <v>-0.5</v>
      </c>
      <c r="S2" s="14">
        <v>-1.0</v>
      </c>
      <c r="T2" s="14">
        <v>0.0</v>
      </c>
      <c r="U2" s="14">
        <v>0.0</v>
      </c>
      <c r="V2" s="5" t="s">
        <v>48</v>
      </c>
    </row>
    <row r="3">
      <c r="A3" s="5" t="s">
        <v>49</v>
      </c>
      <c r="B3" s="14">
        <v>0.0</v>
      </c>
      <c r="C3" s="14">
        <v>1.0</v>
      </c>
      <c r="D3" s="14">
        <v>-1.0</v>
      </c>
      <c r="E3" s="14">
        <v>0.0</v>
      </c>
      <c r="F3" s="14">
        <v>-1.0</v>
      </c>
      <c r="G3" s="14">
        <v>0.0</v>
      </c>
      <c r="H3" s="14">
        <v>0.0</v>
      </c>
      <c r="I3" s="14">
        <v>-1.0</v>
      </c>
      <c r="J3" s="14">
        <v>-1.0</v>
      </c>
      <c r="K3" s="14">
        <v>0.0</v>
      </c>
      <c r="L3" s="14">
        <v>-2.0</v>
      </c>
      <c r="M3" s="14">
        <v>0.0</v>
      </c>
      <c r="N3" s="14">
        <v>0.0</v>
      </c>
      <c r="O3" s="14">
        <v>0.0</v>
      </c>
      <c r="P3" s="14">
        <v>0.0</v>
      </c>
      <c r="Q3" s="14">
        <v>0.0</v>
      </c>
      <c r="R3" s="14">
        <v>-0.5</v>
      </c>
      <c r="S3" s="14">
        <v>0.0</v>
      </c>
      <c r="T3" s="14">
        <v>0.0</v>
      </c>
      <c r="U3" s="14">
        <v>-1.0</v>
      </c>
      <c r="V3" s="5" t="s">
        <v>48</v>
      </c>
    </row>
    <row r="4">
      <c r="A4" s="5" t="s">
        <v>50</v>
      </c>
      <c r="B4" s="14">
        <v>0.0</v>
      </c>
      <c r="C4" s="14">
        <v>2.0</v>
      </c>
      <c r="D4" s="14">
        <v>0.0</v>
      </c>
      <c r="E4" s="14">
        <v>0.0</v>
      </c>
      <c r="F4" s="14">
        <v>-3.0</v>
      </c>
      <c r="G4" s="14">
        <v>0.0</v>
      </c>
      <c r="H4" s="14">
        <v>0.0</v>
      </c>
      <c r="I4" s="14">
        <v>0.0</v>
      </c>
      <c r="J4" s="14">
        <v>0.0</v>
      </c>
      <c r="K4" s="14">
        <v>0.0</v>
      </c>
      <c r="L4" s="14">
        <v>0.0</v>
      </c>
      <c r="M4" s="14">
        <v>0.0</v>
      </c>
      <c r="N4" s="14">
        <v>-2.0</v>
      </c>
      <c r="O4" s="14">
        <v>0.0</v>
      </c>
      <c r="P4" s="14">
        <v>-2.0</v>
      </c>
      <c r="Q4" s="14">
        <v>0.0</v>
      </c>
      <c r="R4" s="14">
        <v>0.0</v>
      </c>
      <c r="S4" s="14">
        <v>0.0</v>
      </c>
      <c r="T4" s="14">
        <v>0.0</v>
      </c>
      <c r="U4" s="14">
        <v>0.0</v>
      </c>
      <c r="V4" s="5" t="s">
        <v>48</v>
      </c>
    </row>
    <row r="5">
      <c r="A5" s="5" t="s">
        <v>51</v>
      </c>
      <c r="B5" s="14">
        <v>0.0</v>
      </c>
      <c r="C5" s="14">
        <v>0.0</v>
      </c>
      <c r="D5" s="14">
        <v>-1.5</v>
      </c>
      <c r="E5" s="14">
        <v>-0.5</v>
      </c>
      <c r="F5" s="14">
        <v>-2.0</v>
      </c>
      <c r="G5" s="14">
        <v>3.0</v>
      </c>
      <c r="H5" s="14">
        <v>1.0</v>
      </c>
      <c r="I5" s="14">
        <v>-1.5</v>
      </c>
      <c r="J5" s="14">
        <v>-1.5</v>
      </c>
      <c r="K5" s="14">
        <v>0.0</v>
      </c>
      <c r="L5" s="14">
        <v>-1.5</v>
      </c>
      <c r="M5" s="14">
        <v>-5.0</v>
      </c>
      <c r="N5" s="14">
        <v>-2.0</v>
      </c>
      <c r="O5" s="14">
        <v>1.5</v>
      </c>
      <c r="P5" s="14">
        <v>1.0</v>
      </c>
      <c r="Q5" s="14">
        <v>0.0</v>
      </c>
      <c r="R5" s="14">
        <v>0.0</v>
      </c>
      <c r="S5" s="14">
        <v>-2.0</v>
      </c>
      <c r="T5" s="14">
        <v>0.0</v>
      </c>
      <c r="U5" s="14">
        <v>-1.0</v>
      </c>
      <c r="V5" s="5" t="s">
        <v>48</v>
      </c>
    </row>
    <row r="6">
      <c r="A6" s="5" t="s">
        <v>52</v>
      </c>
      <c r="B6" s="14">
        <v>0.0</v>
      </c>
      <c r="C6" s="14">
        <v>0.0</v>
      </c>
      <c r="D6" s="14">
        <v>-1.0</v>
      </c>
      <c r="E6" s="14">
        <v>0.0</v>
      </c>
      <c r="F6" s="14">
        <v>1.0</v>
      </c>
      <c r="G6" s="14">
        <v>2.0</v>
      </c>
      <c r="H6" s="14">
        <v>0.0</v>
      </c>
      <c r="I6" s="14">
        <v>1.0</v>
      </c>
      <c r="J6" s="14">
        <v>4.0</v>
      </c>
      <c r="K6" s="14">
        <v>1.0</v>
      </c>
      <c r="L6" s="14">
        <v>1.0</v>
      </c>
      <c r="M6" s="14">
        <v>2.0</v>
      </c>
      <c r="N6" s="14">
        <v>1.0</v>
      </c>
      <c r="O6" s="14">
        <v>0.0</v>
      </c>
      <c r="P6" s="14">
        <v>1.5</v>
      </c>
      <c r="Q6" s="14">
        <v>0.0</v>
      </c>
      <c r="R6" s="14">
        <v>0.0</v>
      </c>
      <c r="S6" s="14">
        <v>0.0</v>
      </c>
      <c r="T6" s="14">
        <v>2.0</v>
      </c>
      <c r="U6" s="14">
        <v>1.0</v>
      </c>
      <c r="V6" s="5" t="s">
        <v>48</v>
      </c>
    </row>
    <row r="7">
      <c r="A7" s="5" t="s">
        <v>53</v>
      </c>
      <c r="B7" s="14">
        <v>0.0</v>
      </c>
      <c r="C7" s="14">
        <v>1.0</v>
      </c>
      <c r="D7" s="14">
        <v>0.0</v>
      </c>
      <c r="E7" s="14">
        <v>1.0</v>
      </c>
      <c r="F7" s="14">
        <v>1.5</v>
      </c>
      <c r="G7" s="14">
        <v>-1.0</v>
      </c>
      <c r="H7" s="14">
        <v>0.0</v>
      </c>
      <c r="I7" s="14">
        <v>0.0</v>
      </c>
      <c r="J7" s="14">
        <v>0.0</v>
      </c>
      <c r="K7" s="14">
        <v>0.5</v>
      </c>
      <c r="L7" s="14">
        <v>0.0</v>
      </c>
      <c r="M7" s="14">
        <v>0.0</v>
      </c>
      <c r="N7" s="14">
        <v>1.0</v>
      </c>
      <c r="O7" s="14">
        <v>0.0</v>
      </c>
      <c r="P7" s="14">
        <v>0.0</v>
      </c>
      <c r="Q7" s="14">
        <v>0.0</v>
      </c>
      <c r="R7" s="14">
        <v>0.0</v>
      </c>
      <c r="S7" s="14">
        <v>0.0</v>
      </c>
      <c r="T7" s="14">
        <v>0.0</v>
      </c>
      <c r="U7" s="14">
        <v>1.0</v>
      </c>
      <c r="V7" s="5" t="s">
        <v>48</v>
      </c>
    </row>
    <row r="8">
      <c r="A8" s="5" t="s">
        <v>54</v>
      </c>
      <c r="B8" s="14">
        <v>0.0</v>
      </c>
      <c r="C8" s="14">
        <v>1.5</v>
      </c>
      <c r="D8" s="14">
        <v>-1.5</v>
      </c>
      <c r="E8" s="14">
        <v>0.0</v>
      </c>
      <c r="F8" s="14">
        <v>-3.0</v>
      </c>
      <c r="G8" s="14">
        <v>0.0</v>
      </c>
      <c r="H8" s="14">
        <v>0.0</v>
      </c>
      <c r="I8" s="14">
        <v>-1.5</v>
      </c>
      <c r="J8" s="14">
        <v>-1.5</v>
      </c>
      <c r="K8" s="14">
        <v>0.0</v>
      </c>
      <c r="L8" s="14">
        <v>-2.5</v>
      </c>
      <c r="M8" s="14">
        <v>0.0</v>
      </c>
      <c r="N8" s="14">
        <v>-2.0</v>
      </c>
      <c r="O8" s="14">
        <v>0.0</v>
      </c>
      <c r="P8" s="14">
        <v>-2.0</v>
      </c>
      <c r="Q8" s="14">
        <v>0.0</v>
      </c>
      <c r="R8" s="14">
        <v>-1.0</v>
      </c>
      <c r="S8" s="14">
        <v>0.0</v>
      </c>
      <c r="T8" s="14">
        <v>0.0</v>
      </c>
      <c r="U8" s="14">
        <v>-1.5</v>
      </c>
      <c r="V8" s="5" t="s">
        <v>48</v>
      </c>
    </row>
    <row r="9">
      <c r="A9" s="5" t="s">
        <v>55</v>
      </c>
      <c r="B9" s="14">
        <v>1.0</v>
      </c>
      <c r="C9" s="14">
        <v>1.5</v>
      </c>
      <c r="D9" s="14">
        <v>0.0</v>
      </c>
      <c r="E9" s="14">
        <v>0.0</v>
      </c>
      <c r="F9" s="14">
        <v>0.0</v>
      </c>
      <c r="G9" s="14">
        <v>1.0</v>
      </c>
      <c r="H9" s="14">
        <v>3.0</v>
      </c>
      <c r="I9" s="14">
        <v>0.0</v>
      </c>
      <c r="J9" s="14">
        <v>-1.0</v>
      </c>
      <c r="K9" s="14">
        <v>0.0</v>
      </c>
      <c r="L9" s="14">
        <v>0.0</v>
      </c>
      <c r="M9" s="14">
        <v>0.0</v>
      </c>
      <c r="N9" s="14">
        <v>0.0</v>
      </c>
      <c r="O9" s="14">
        <v>1.0</v>
      </c>
      <c r="P9" s="14">
        <v>0.0</v>
      </c>
      <c r="Q9" s="14">
        <v>3.0</v>
      </c>
      <c r="R9" s="14">
        <v>1.0</v>
      </c>
      <c r="S9" s="14">
        <v>-1.0</v>
      </c>
      <c r="T9" s="14">
        <v>0.0</v>
      </c>
      <c r="U9" s="14">
        <v>0.0</v>
      </c>
      <c r="V9" s="5" t="s">
        <v>48</v>
      </c>
    </row>
    <row r="10">
      <c r="A10" s="5" t="s">
        <v>56</v>
      </c>
      <c r="B10" s="14">
        <v>0.0</v>
      </c>
      <c r="C10" s="14">
        <v>0.0</v>
      </c>
      <c r="D10" s="14">
        <v>0.0</v>
      </c>
      <c r="E10" s="14">
        <v>0.0</v>
      </c>
      <c r="F10" s="14">
        <v>0.0</v>
      </c>
      <c r="G10" s="14">
        <v>0.0</v>
      </c>
      <c r="H10" s="14">
        <v>0.0</v>
      </c>
      <c r="I10" s="14">
        <v>0.0</v>
      </c>
      <c r="J10" s="14">
        <v>0.0</v>
      </c>
      <c r="K10" s="14">
        <v>0.0</v>
      </c>
      <c r="L10" s="14">
        <v>0.0</v>
      </c>
      <c r="M10" s="14">
        <v>0.0</v>
      </c>
      <c r="N10" s="14">
        <v>0.0</v>
      </c>
      <c r="O10" s="14">
        <v>0.0</v>
      </c>
      <c r="P10" s="14">
        <v>0.0</v>
      </c>
      <c r="Q10" s="14">
        <v>0.0</v>
      </c>
      <c r="R10" s="14">
        <v>0.0</v>
      </c>
      <c r="S10" s="14">
        <v>0.0</v>
      </c>
      <c r="T10" s="14">
        <v>0.0</v>
      </c>
      <c r="U10" s="14">
        <v>0.0</v>
      </c>
      <c r="V10" s="5" t="s">
        <v>48</v>
      </c>
    </row>
    <row r="11">
      <c r="A11" s="5" t="s">
        <v>57</v>
      </c>
      <c r="B11" s="14">
        <v>0.5</v>
      </c>
      <c r="C11" s="14">
        <v>0.5</v>
      </c>
      <c r="D11" s="14">
        <v>-1.0</v>
      </c>
      <c r="E11" s="14">
        <v>-0.5</v>
      </c>
      <c r="F11" s="14">
        <v>-1.5</v>
      </c>
      <c r="G11" s="14">
        <v>2.5</v>
      </c>
      <c r="H11" s="14">
        <v>1.0</v>
      </c>
      <c r="I11" s="14">
        <v>-1.0</v>
      </c>
      <c r="J11" s="14">
        <v>-1.0</v>
      </c>
      <c r="K11" s="14">
        <v>0.0</v>
      </c>
      <c r="L11" s="14">
        <v>-1.0</v>
      </c>
      <c r="M11" s="14">
        <v>-4.0</v>
      </c>
      <c r="N11" s="14">
        <v>-1.5</v>
      </c>
      <c r="O11" s="14">
        <v>1.5</v>
      </c>
      <c r="P11" s="14">
        <v>1.0</v>
      </c>
      <c r="Q11" s="14">
        <v>0.0</v>
      </c>
      <c r="R11" s="14">
        <v>0.0</v>
      </c>
      <c r="S11" s="14">
        <v>-2.0</v>
      </c>
      <c r="T11" s="14">
        <v>0.0</v>
      </c>
      <c r="U11" s="14">
        <v>-1.0</v>
      </c>
      <c r="V11" s="5" t="s">
        <v>48</v>
      </c>
    </row>
    <row r="12">
      <c r="A12" s="5" t="s">
        <v>58</v>
      </c>
      <c r="B12" s="14">
        <v>0.0</v>
      </c>
      <c r="C12" s="14">
        <v>0.0</v>
      </c>
      <c r="D12" s="14">
        <v>0.5</v>
      </c>
      <c r="E12" s="14">
        <v>0.5</v>
      </c>
      <c r="F12" s="14">
        <v>1.5</v>
      </c>
      <c r="G12" s="14">
        <v>0.0</v>
      </c>
      <c r="H12" s="14">
        <v>0.0</v>
      </c>
      <c r="I12" s="14">
        <v>0.0</v>
      </c>
      <c r="J12" s="14">
        <v>0.0</v>
      </c>
      <c r="K12" s="14">
        <v>0.0</v>
      </c>
      <c r="L12" s="14">
        <v>0.0</v>
      </c>
      <c r="M12" s="14">
        <v>0.0</v>
      </c>
      <c r="N12" s="14">
        <v>0.5</v>
      </c>
      <c r="O12" s="14">
        <v>0.0</v>
      </c>
      <c r="P12" s="14">
        <v>0.0</v>
      </c>
      <c r="Q12" s="14">
        <v>0.0</v>
      </c>
      <c r="R12" s="14">
        <v>0.0</v>
      </c>
      <c r="S12" s="14">
        <v>0.0</v>
      </c>
      <c r="T12" s="14">
        <v>0.0</v>
      </c>
      <c r="U12" s="14">
        <v>0.0</v>
      </c>
      <c r="V12" s="5" t="s">
        <v>48</v>
      </c>
    </row>
    <row r="13">
      <c r="A13" s="5" t="s">
        <v>59</v>
      </c>
      <c r="B13" s="14">
        <v>0.5</v>
      </c>
      <c r="C13" s="14">
        <v>0.5</v>
      </c>
      <c r="D13" s="14">
        <v>1.0</v>
      </c>
      <c r="E13" s="14">
        <v>0.5</v>
      </c>
      <c r="F13" s="14">
        <v>0.5</v>
      </c>
      <c r="G13" s="14">
        <v>0.0</v>
      </c>
      <c r="H13" s="14">
        <v>1.0</v>
      </c>
      <c r="I13" s="14">
        <v>1.0</v>
      </c>
      <c r="J13" s="14">
        <v>0.0</v>
      </c>
      <c r="K13" s="14">
        <v>0.5</v>
      </c>
      <c r="L13" s="14">
        <v>0.5</v>
      </c>
      <c r="M13" s="14">
        <v>1.0</v>
      </c>
      <c r="N13" s="14">
        <v>0.5</v>
      </c>
      <c r="O13" s="14">
        <v>0.5</v>
      </c>
      <c r="P13" s="14">
        <v>0.0</v>
      </c>
      <c r="Q13" s="14">
        <v>1.0</v>
      </c>
      <c r="R13" s="14">
        <v>1.0</v>
      </c>
      <c r="S13" s="14">
        <v>2.0</v>
      </c>
      <c r="T13" s="14">
        <v>0.0</v>
      </c>
      <c r="U13" s="14">
        <v>1.0</v>
      </c>
      <c r="V13" s="5" t="s">
        <v>48</v>
      </c>
    </row>
    <row r="14">
      <c r="A14" s="5" t="s">
        <v>60</v>
      </c>
      <c r="B14" s="14">
        <v>0.5</v>
      </c>
      <c r="C14" s="14">
        <v>0.0</v>
      </c>
      <c r="D14" s="14">
        <v>2.0</v>
      </c>
      <c r="E14" s="14">
        <v>0.0</v>
      </c>
      <c r="F14" s="14">
        <v>0.0</v>
      </c>
      <c r="G14" s="14">
        <v>0.0</v>
      </c>
      <c r="H14" s="14">
        <v>2.0</v>
      </c>
      <c r="I14" s="14">
        <v>0.0</v>
      </c>
      <c r="J14" s="14">
        <v>0.0</v>
      </c>
      <c r="K14" s="14">
        <v>0.0</v>
      </c>
      <c r="L14" s="14">
        <v>0.0</v>
      </c>
      <c r="M14" s="14">
        <v>1.0</v>
      </c>
      <c r="N14" s="14">
        <v>0.0</v>
      </c>
      <c r="O14" s="14">
        <v>0.0</v>
      </c>
      <c r="P14" s="14">
        <v>0.0</v>
      </c>
      <c r="Q14" s="14">
        <v>2.0</v>
      </c>
      <c r="R14" s="14">
        <v>0.5</v>
      </c>
      <c r="S14" s="14">
        <v>3.0</v>
      </c>
      <c r="T14" s="14">
        <v>0.0</v>
      </c>
      <c r="U14" s="14">
        <v>0.0</v>
      </c>
      <c r="V14" s="5" t="s">
        <v>48</v>
      </c>
    </row>
    <row r="15">
      <c r="A15" s="5" t="s">
        <v>61</v>
      </c>
      <c r="B15" s="14">
        <v>1.5</v>
      </c>
      <c r="C15" s="14">
        <v>2.0</v>
      </c>
      <c r="D15" s="14">
        <v>0.0</v>
      </c>
      <c r="E15" s="14">
        <v>0.5</v>
      </c>
      <c r="F15" s="14">
        <v>-1.5</v>
      </c>
      <c r="G15" s="14">
        <v>0.5</v>
      </c>
      <c r="H15" s="14">
        <v>2.0</v>
      </c>
      <c r="I15" s="14">
        <v>-0.5</v>
      </c>
      <c r="J15" s="14">
        <v>-1.0</v>
      </c>
      <c r="K15" s="14">
        <v>0.5</v>
      </c>
      <c r="L15" s="14">
        <v>-1.5</v>
      </c>
      <c r="M15" s="14">
        <v>-2.0</v>
      </c>
      <c r="N15" s="14">
        <v>-1.5</v>
      </c>
      <c r="O15" s="14">
        <v>1.5</v>
      </c>
      <c r="P15" s="14">
        <v>-2.0</v>
      </c>
      <c r="Q15" s="14">
        <v>2.0</v>
      </c>
      <c r="R15" s="14">
        <v>1.0</v>
      </c>
      <c r="S15" s="14">
        <v>-1.0</v>
      </c>
      <c r="T15" s="14">
        <v>0.0</v>
      </c>
      <c r="U15" s="14">
        <v>-0.5</v>
      </c>
      <c r="V15" s="5" t="s">
        <v>48</v>
      </c>
    </row>
    <row r="16">
      <c r="A16" s="5" t="s">
        <v>62</v>
      </c>
      <c r="B16" s="14">
        <v>1.0</v>
      </c>
      <c r="C16" s="14">
        <v>1.0</v>
      </c>
      <c r="D16" s="14">
        <v>-1.0</v>
      </c>
      <c r="E16" s="14">
        <v>-0.5</v>
      </c>
      <c r="F16" s="14">
        <v>-2.0</v>
      </c>
      <c r="G16" s="14">
        <v>2.0</v>
      </c>
      <c r="H16" s="14">
        <v>1.0</v>
      </c>
      <c r="I16" s="14">
        <v>-1.0</v>
      </c>
      <c r="J16" s="14">
        <v>-1.5</v>
      </c>
      <c r="K16" s="14">
        <v>0.0</v>
      </c>
      <c r="L16" s="14">
        <v>-1.5</v>
      </c>
      <c r="M16" s="14">
        <v>-4.0</v>
      </c>
      <c r="N16" s="14">
        <v>-2.0</v>
      </c>
      <c r="O16" s="14">
        <v>1.0</v>
      </c>
      <c r="P16" s="14">
        <v>1.0</v>
      </c>
      <c r="Q16" s="14">
        <v>0.5</v>
      </c>
      <c r="R16" s="14">
        <v>0.0</v>
      </c>
      <c r="S16" s="14">
        <v>-1.5</v>
      </c>
      <c r="T16" s="14">
        <v>0.0</v>
      </c>
      <c r="U16" s="14">
        <v>-1.0</v>
      </c>
      <c r="V16" s="5" t="s">
        <v>48</v>
      </c>
    </row>
    <row r="17">
      <c r="A17" s="5" t="s">
        <v>63</v>
      </c>
      <c r="B17" s="14">
        <v>0.0</v>
      </c>
      <c r="C17" s="14">
        <v>0.0</v>
      </c>
      <c r="D17" s="14">
        <v>-1.0</v>
      </c>
      <c r="E17" s="14">
        <v>-0.5</v>
      </c>
      <c r="F17" s="14">
        <v>-1.5</v>
      </c>
      <c r="G17" s="14">
        <v>2.0</v>
      </c>
      <c r="H17" s="14">
        <v>1.0</v>
      </c>
      <c r="I17" s="14">
        <v>-1.0</v>
      </c>
      <c r="J17" s="14">
        <v>-1.0</v>
      </c>
      <c r="K17" s="14">
        <v>0.0</v>
      </c>
      <c r="L17" s="14">
        <v>-1.0</v>
      </c>
      <c r="M17" s="14">
        <v>-3.0</v>
      </c>
      <c r="N17" s="14">
        <v>-1.5</v>
      </c>
      <c r="O17" s="14">
        <v>1.0</v>
      </c>
      <c r="P17" s="14">
        <v>1.0</v>
      </c>
      <c r="Q17" s="14">
        <v>0.0</v>
      </c>
      <c r="R17" s="14">
        <v>0.0</v>
      </c>
      <c r="S17" s="14">
        <v>-1.5</v>
      </c>
      <c r="T17" s="14">
        <v>0.0</v>
      </c>
      <c r="U17" s="14">
        <v>-0.5</v>
      </c>
      <c r="V17" s="5" t="s">
        <v>48</v>
      </c>
    </row>
    <row r="18">
      <c r="A18" s="5" t="s">
        <v>64</v>
      </c>
      <c r="B18" s="14">
        <v>0.0</v>
      </c>
      <c r="C18" s="14">
        <v>0.0</v>
      </c>
      <c r="D18" s="14">
        <v>1.0</v>
      </c>
      <c r="E18" s="14">
        <v>1.0</v>
      </c>
      <c r="F18" s="14">
        <v>2.0</v>
      </c>
      <c r="G18" s="14">
        <v>0.0</v>
      </c>
      <c r="H18" s="14">
        <v>0.0</v>
      </c>
      <c r="I18" s="14">
        <v>0.0</v>
      </c>
      <c r="J18" s="14">
        <v>0.0</v>
      </c>
      <c r="K18" s="14">
        <v>0.0</v>
      </c>
      <c r="L18" s="14">
        <v>0.0</v>
      </c>
      <c r="M18" s="14">
        <v>0.0</v>
      </c>
      <c r="N18" s="14">
        <v>1.0</v>
      </c>
      <c r="O18" s="14">
        <v>0.0</v>
      </c>
      <c r="P18" s="14">
        <v>0.0</v>
      </c>
      <c r="Q18" s="14">
        <v>0.0</v>
      </c>
      <c r="R18" s="14">
        <v>0.5</v>
      </c>
      <c r="S18" s="14">
        <v>0.0</v>
      </c>
      <c r="T18" s="14">
        <v>0.0</v>
      </c>
      <c r="U18" s="14">
        <v>0.0</v>
      </c>
      <c r="V18" s="5" t="s">
        <v>48</v>
      </c>
    </row>
    <row r="19">
      <c r="A19" s="5" t="s">
        <v>65</v>
      </c>
      <c r="B19" s="14">
        <v>0.0</v>
      </c>
      <c r="C19" s="14">
        <v>0.0</v>
      </c>
      <c r="D19" s="14">
        <v>-1.5</v>
      </c>
      <c r="E19" s="14">
        <v>-0.5</v>
      </c>
      <c r="F19" s="14">
        <v>-2.0</v>
      </c>
      <c r="G19" s="14">
        <v>3.0</v>
      </c>
      <c r="H19" s="14">
        <v>0.5</v>
      </c>
      <c r="I19" s="14">
        <v>-1.0</v>
      </c>
      <c r="J19" s="14">
        <v>-1.5</v>
      </c>
      <c r="K19" s="14">
        <v>0.0</v>
      </c>
      <c r="L19" s="14">
        <v>-1.5</v>
      </c>
      <c r="M19" s="14">
        <v>-4.0</v>
      </c>
      <c r="N19" s="14">
        <v>-1.5</v>
      </c>
      <c r="O19" s="14">
        <v>1.0</v>
      </c>
      <c r="P19" s="14">
        <v>1.5</v>
      </c>
      <c r="Q19" s="14">
        <v>0.0</v>
      </c>
      <c r="R19" s="14">
        <v>0.0</v>
      </c>
      <c r="S19" s="14">
        <v>-1.5</v>
      </c>
      <c r="T19" s="14">
        <v>0.0</v>
      </c>
      <c r="U19" s="14">
        <v>0.0</v>
      </c>
      <c r="V19" s="5" t="s">
        <v>48</v>
      </c>
    </row>
    <row r="20">
      <c r="A20" s="5" t="s">
        <v>66</v>
      </c>
      <c r="B20" s="14">
        <v>0.0</v>
      </c>
      <c r="C20" s="14">
        <v>0.0</v>
      </c>
      <c r="D20" s="14">
        <v>-1.5</v>
      </c>
      <c r="E20" s="14">
        <v>-0.5</v>
      </c>
      <c r="F20" s="14">
        <v>-2.0</v>
      </c>
      <c r="G20" s="14">
        <v>3.0</v>
      </c>
      <c r="H20" s="14">
        <v>0.5</v>
      </c>
      <c r="I20" s="14">
        <v>-1.0</v>
      </c>
      <c r="J20" s="14">
        <v>-1.5</v>
      </c>
      <c r="K20" s="14">
        <v>0.0</v>
      </c>
      <c r="L20" s="14">
        <v>-1.5</v>
      </c>
      <c r="M20" s="14">
        <v>-4.0</v>
      </c>
      <c r="N20" s="14">
        <v>-1.5</v>
      </c>
      <c r="O20" s="14">
        <v>1.0</v>
      </c>
      <c r="P20" s="14">
        <v>1.5</v>
      </c>
      <c r="Q20" s="14">
        <v>0.0</v>
      </c>
      <c r="R20" s="14">
        <v>0.0</v>
      </c>
      <c r="S20" s="14">
        <v>-1.5</v>
      </c>
      <c r="T20" s="14">
        <v>0.0</v>
      </c>
      <c r="U20" s="14">
        <v>0.0</v>
      </c>
      <c r="V20" s="5" t="s">
        <v>48</v>
      </c>
    </row>
    <row r="21" ht="15.75" customHeight="1">
      <c r="A21" s="5" t="s">
        <v>67</v>
      </c>
      <c r="B21" s="14">
        <v>0.0</v>
      </c>
      <c r="C21" s="14">
        <v>0.0</v>
      </c>
      <c r="D21" s="14">
        <v>0.0</v>
      </c>
      <c r="E21" s="14">
        <v>0.0</v>
      </c>
      <c r="F21" s="14">
        <v>0.0</v>
      </c>
      <c r="G21" s="14">
        <v>0.0</v>
      </c>
      <c r="H21" s="14">
        <v>0.0</v>
      </c>
      <c r="I21" s="14">
        <v>0.0</v>
      </c>
      <c r="J21" s="14">
        <v>0.0</v>
      </c>
      <c r="K21" s="14">
        <v>0.0</v>
      </c>
      <c r="L21" s="14">
        <v>0.0</v>
      </c>
      <c r="M21" s="14">
        <v>0.0</v>
      </c>
      <c r="N21" s="14">
        <v>0.0</v>
      </c>
      <c r="O21" s="14">
        <v>0.0</v>
      </c>
      <c r="P21" s="14">
        <v>0.0</v>
      </c>
      <c r="Q21" s="14">
        <v>0.0</v>
      </c>
      <c r="R21" s="14">
        <v>0.0</v>
      </c>
      <c r="S21" s="14">
        <v>0.0</v>
      </c>
      <c r="T21" s="14">
        <v>0.0</v>
      </c>
      <c r="U21" s="14">
        <v>0.0</v>
      </c>
      <c r="V21" s="5" t="s">
        <v>48</v>
      </c>
    </row>
    <row r="22" ht="15.75" customHeight="1">
      <c r="A22" s="5" t="s">
        <v>68</v>
      </c>
      <c r="B22" s="14">
        <v>0.5</v>
      </c>
      <c r="C22" s="14">
        <v>1.0</v>
      </c>
      <c r="D22" s="14">
        <v>3.0</v>
      </c>
      <c r="E22" s="14">
        <v>0.0</v>
      </c>
      <c r="F22" s="14">
        <v>-2.0</v>
      </c>
      <c r="G22" s="14">
        <v>0.0</v>
      </c>
      <c r="H22" s="14">
        <v>2.0</v>
      </c>
      <c r="I22" s="14">
        <v>-1.0</v>
      </c>
      <c r="J22" s="14">
        <v>0.0</v>
      </c>
      <c r="K22" s="14">
        <v>0.0</v>
      </c>
      <c r="L22" s="14">
        <v>-2.0</v>
      </c>
      <c r="M22" s="14">
        <v>0.0</v>
      </c>
      <c r="N22" s="14">
        <v>-1.5</v>
      </c>
      <c r="O22" s="14">
        <v>1.0</v>
      </c>
      <c r="P22" s="14">
        <v>-1.0</v>
      </c>
      <c r="Q22" s="14">
        <v>2.0</v>
      </c>
      <c r="R22" s="14">
        <v>-0.5</v>
      </c>
      <c r="S22" s="14">
        <v>4.0</v>
      </c>
      <c r="T22" s="14">
        <v>0.0</v>
      </c>
      <c r="U22" s="14">
        <v>0.0</v>
      </c>
      <c r="V22" s="5" t="s">
        <v>48</v>
      </c>
    </row>
    <row r="23" ht="15.75" customHeight="1">
      <c r="A23" s="5" t="s">
        <v>69</v>
      </c>
      <c r="B23" s="14">
        <v>1.0</v>
      </c>
      <c r="C23" s="14">
        <v>0.0</v>
      </c>
      <c r="D23" s="14">
        <v>0.0</v>
      </c>
      <c r="E23" s="14">
        <v>0.0</v>
      </c>
      <c r="F23" s="14">
        <v>1.0</v>
      </c>
      <c r="G23" s="14">
        <v>0.0</v>
      </c>
      <c r="H23" s="14">
        <v>0.0</v>
      </c>
      <c r="I23" s="14">
        <v>2.0</v>
      </c>
      <c r="J23" s="14">
        <v>2.0</v>
      </c>
      <c r="K23" s="14">
        <v>1.0</v>
      </c>
      <c r="L23" s="14">
        <v>1.0</v>
      </c>
      <c r="M23" s="14">
        <v>5.0</v>
      </c>
      <c r="N23" s="14">
        <v>1.0</v>
      </c>
      <c r="O23" s="14">
        <v>3.0</v>
      </c>
      <c r="P23" s="14">
        <v>0.0</v>
      </c>
      <c r="Q23" s="14">
        <v>0.0</v>
      </c>
      <c r="R23" s="14">
        <v>0.0</v>
      </c>
      <c r="S23" s="14">
        <v>0.0</v>
      </c>
      <c r="T23" s="14">
        <v>2.0</v>
      </c>
      <c r="U23" s="14">
        <v>1.0</v>
      </c>
      <c r="V23" s="5" t="s">
        <v>48</v>
      </c>
    </row>
    <row r="24" ht="15.75" customHeight="1">
      <c r="A24" s="5" t="s">
        <v>70</v>
      </c>
      <c r="B24" s="14">
        <v>0.0</v>
      </c>
      <c r="C24" s="14">
        <v>0.0</v>
      </c>
      <c r="D24" s="14">
        <v>-2.0</v>
      </c>
      <c r="E24" s="14">
        <v>-1.0</v>
      </c>
      <c r="F24" s="14">
        <v>-2.0</v>
      </c>
      <c r="G24" s="14">
        <v>4.0</v>
      </c>
      <c r="H24" s="14">
        <v>1.5</v>
      </c>
      <c r="I24" s="14">
        <v>-2.0</v>
      </c>
      <c r="J24" s="14">
        <v>-2.0</v>
      </c>
      <c r="K24" s="14">
        <v>0.0</v>
      </c>
      <c r="L24" s="14">
        <v>-2.0</v>
      </c>
      <c r="M24" s="14">
        <v>-9.0</v>
      </c>
      <c r="N24" s="14">
        <v>-2.0</v>
      </c>
      <c r="O24" s="14">
        <v>2.5</v>
      </c>
      <c r="P24" s="14">
        <v>1.5</v>
      </c>
      <c r="Q24" s="14">
        <v>0.0</v>
      </c>
      <c r="R24" s="14">
        <v>0.0</v>
      </c>
      <c r="S24" s="14">
        <v>-3.0</v>
      </c>
      <c r="T24" s="14">
        <v>-0.5</v>
      </c>
      <c r="U24" s="14">
        <v>-1.5</v>
      </c>
      <c r="V24" s="5" t="s">
        <v>48</v>
      </c>
    </row>
    <row r="25" ht="15.75" customHeight="1">
      <c r="A25" s="5" t="s">
        <v>71</v>
      </c>
      <c r="B25" s="14">
        <v>0.0</v>
      </c>
      <c r="C25" s="14">
        <v>0.0</v>
      </c>
      <c r="D25" s="14">
        <v>1.0</v>
      </c>
      <c r="E25" s="14">
        <v>1.0</v>
      </c>
      <c r="F25" s="14">
        <v>3.0</v>
      </c>
      <c r="G25" s="14">
        <v>-0.5</v>
      </c>
      <c r="H25" s="14">
        <v>-0.5</v>
      </c>
      <c r="I25" s="14">
        <v>0.0</v>
      </c>
      <c r="J25" s="14">
        <v>2.0</v>
      </c>
      <c r="K25" s="14">
        <v>0.5</v>
      </c>
      <c r="L25" s="14">
        <v>1.0</v>
      </c>
      <c r="M25" s="14">
        <v>2.0</v>
      </c>
      <c r="N25" s="14">
        <v>2.0</v>
      </c>
      <c r="O25" s="14">
        <v>0.0</v>
      </c>
      <c r="P25" s="14">
        <v>1.0</v>
      </c>
      <c r="Q25" s="14">
        <v>0.0</v>
      </c>
      <c r="R25" s="14">
        <v>1.0</v>
      </c>
      <c r="S25" s="14">
        <v>1.0</v>
      </c>
      <c r="T25" s="14">
        <v>1.0</v>
      </c>
      <c r="U25" s="14">
        <v>2.0</v>
      </c>
      <c r="V25" s="5" t="s">
        <v>48</v>
      </c>
    </row>
    <row r="26" ht="15.75" customHeight="1">
      <c r="A26" s="5" t="s">
        <v>72</v>
      </c>
      <c r="B26" s="14">
        <v>0.0</v>
      </c>
      <c r="C26" s="14">
        <v>0.0</v>
      </c>
      <c r="D26" s="14">
        <v>1.0</v>
      </c>
      <c r="E26" s="14">
        <v>1.0</v>
      </c>
      <c r="F26" s="14">
        <v>3.0</v>
      </c>
      <c r="G26" s="14">
        <v>-0.5</v>
      </c>
      <c r="H26" s="14">
        <v>-0.5</v>
      </c>
      <c r="I26" s="14">
        <v>0.0</v>
      </c>
      <c r="J26" s="14">
        <v>2.0</v>
      </c>
      <c r="K26" s="14">
        <v>0.5</v>
      </c>
      <c r="L26" s="14">
        <v>1.0</v>
      </c>
      <c r="M26" s="14">
        <v>2.0</v>
      </c>
      <c r="N26" s="14">
        <v>2.0</v>
      </c>
      <c r="O26" s="14">
        <v>0.0</v>
      </c>
      <c r="P26" s="14">
        <v>1.0</v>
      </c>
      <c r="Q26" s="14">
        <v>0.0</v>
      </c>
      <c r="R26" s="14">
        <v>1.0</v>
      </c>
      <c r="S26" s="14">
        <v>1.0</v>
      </c>
      <c r="T26" s="14">
        <v>1.0</v>
      </c>
      <c r="U26" s="14">
        <v>2.0</v>
      </c>
      <c r="V26" s="5" t="s">
        <v>48</v>
      </c>
    </row>
    <row r="27" ht="15.75" customHeight="1">
      <c r="A27" s="5" t="s">
        <v>73</v>
      </c>
      <c r="B27" s="14">
        <v>0.0</v>
      </c>
      <c r="C27" s="14">
        <v>1.0</v>
      </c>
      <c r="D27" s="14">
        <v>0.0</v>
      </c>
      <c r="E27" s="14">
        <v>1.0</v>
      </c>
      <c r="F27" s="14">
        <v>1.0</v>
      </c>
      <c r="G27" s="14">
        <v>-1.0</v>
      </c>
      <c r="H27" s="14">
        <v>0.0</v>
      </c>
      <c r="I27" s="14">
        <v>0.0</v>
      </c>
      <c r="J27" s="14">
        <v>0.0</v>
      </c>
      <c r="K27" s="14">
        <v>0.5</v>
      </c>
      <c r="L27" s="14">
        <v>0.0</v>
      </c>
      <c r="M27" s="14">
        <v>0.0</v>
      </c>
      <c r="N27" s="14">
        <v>0.5</v>
      </c>
      <c r="O27" s="14">
        <v>0.0</v>
      </c>
      <c r="P27" s="14">
        <v>0.0</v>
      </c>
      <c r="Q27" s="14">
        <v>0.0</v>
      </c>
      <c r="R27" s="14">
        <v>0.0</v>
      </c>
      <c r="S27" s="14">
        <v>0.0</v>
      </c>
      <c r="T27" s="14">
        <v>0.0</v>
      </c>
      <c r="U27" s="14">
        <v>1.0</v>
      </c>
      <c r="V27" s="5" t="s">
        <v>48</v>
      </c>
    </row>
    <row r="28" ht="15.75" customHeight="1">
      <c r="A28" s="5" t="s">
        <v>74</v>
      </c>
      <c r="B28" s="14">
        <v>0.0</v>
      </c>
      <c r="C28" s="14">
        <v>0.0</v>
      </c>
      <c r="D28" s="14">
        <v>0.0</v>
      </c>
      <c r="E28" s="14">
        <v>0.0</v>
      </c>
      <c r="F28" s="14">
        <v>0.0</v>
      </c>
      <c r="G28" s="14">
        <v>0.0</v>
      </c>
      <c r="H28" s="14">
        <v>0.0</v>
      </c>
      <c r="I28" s="14">
        <v>0.0</v>
      </c>
      <c r="J28" s="14">
        <v>0.0</v>
      </c>
      <c r="K28" s="14">
        <v>0.0</v>
      </c>
      <c r="L28" s="14">
        <v>0.0</v>
      </c>
      <c r="M28" s="14">
        <v>0.0</v>
      </c>
      <c r="N28" s="14">
        <v>0.0</v>
      </c>
      <c r="O28" s="14">
        <v>0.0</v>
      </c>
      <c r="P28" s="14">
        <v>0.0</v>
      </c>
      <c r="Q28" s="14">
        <v>0.0</v>
      </c>
      <c r="R28" s="14">
        <v>0.0</v>
      </c>
      <c r="S28" s="14">
        <v>0.0</v>
      </c>
      <c r="T28" s="14">
        <v>0.0</v>
      </c>
      <c r="U28" s="14">
        <v>0.0</v>
      </c>
      <c r="V28" s="5" t="s">
        <v>48</v>
      </c>
    </row>
    <row r="29" ht="15.75" customHeight="1">
      <c r="A29" s="5" t="s">
        <v>75</v>
      </c>
      <c r="B29" s="14">
        <v>1.0</v>
      </c>
      <c r="C29" s="14">
        <v>1.5</v>
      </c>
      <c r="D29" s="14">
        <v>0.0</v>
      </c>
      <c r="E29" s="14">
        <v>0.0</v>
      </c>
      <c r="F29" s="14">
        <v>1.0</v>
      </c>
      <c r="G29" s="14">
        <v>0.0</v>
      </c>
      <c r="H29" s="14">
        <v>0.0</v>
      </c>
      <c r="I29" s="14">
        <v>2.0</v>
      </c>
      <c r="J29" s="14">
        <v>2.0</v>
      </c>
      <c r="K29" s="14">
        <v>1.0</v>
      </c>
      <c r="L29" s="14">
        <v>1.0</v>
      </c>
      <c r="M29" s="14">
        <v>5.0</v>
      </c>
      <c r="N29" s="14">
        <v>1.0</v>
      </c>
      <c r="O29" s="14">
        <v>3.0</v>
      </c>
      <c r="P29" s="14">
        <v>0.0</v>
      </c>
      <c r="Q29" s="14">
        <v>0.0</v>
      </c>
      <c r="R29" s="14">
        <v>0.0</v>
      </c>
      <c r="S29" s="14">
        <v>0.0</v>
      </c>
      <c r="T29" s="14">
        <v>2.0</v>
      </c>
      <c r="U29" s="14">
        <v>1.0</v>
      </c>
      <c r="V29" s="5" t="s">
        <v>48</v>
      </c>
    </row>
    <row r="30" ht="15.75" customHeight="1">
      <c r="A30" s="5" t="s">
        <v>76</v>
      </c>
      <c r="B30" s="14">
        <v>0.0</v>
      </c>
      <c r="C30" s="14">
        <v>0.0</v>
      </c>
      <c r="D30" s="14">
        <v>0.0</v>
      </c>
      <c r="E30" s="14">
        <v>0.0</v>
      </c>
      <c r="F30" s="14">
        <v>0.0</v>
      </c>
      <c r="G30" s="14">
        <v>0.0</v>
      </c>
      <c r="H30" s="14">
        <v>0.0</v>
      </c>
      <c r="I30" s="14">
        <v>0.0</v>
      </c>
      <c r="J30" s="14">
        <v>0.0</v>
      </c>
      <c r="K30" s="14">
        <v>0.0</v>
      </c>
      <c r="L30" s="14">
        <v>0.0</v>
      </c>
      <c r="M30" s="14">
        <v>1.0</v>
      </c>
      <c r="N30" s="14">
        <v>0.0</v>
      </c>
      <c r="O30" s="14">
        <v>0.0</v>
      </c>
      <c r="P30" s="14">
        <v>4.0</v>
      </c>
      <c r="Q30" s="14">
        <v>0.0</v>
      </c>
      <c r="R30" s="14">
        <v>0.0</v>
      </c>
      <c r="S30" s="14">
        <v>0.0</v>
      </c>
      <c r="T30" s="14">
        <v>0.0</v>
      </c>
      <c r="U30" s="14">
        <v>0.0</v>
      </c>
      <c r="V30" s="5" t="s">
        <v>48</v>
      </c>
    </row>
    <row r="31" ht="15.75" customHeight="1">
      <c r="A31" s="5" t="s">
        <v>77</v>
      </c>
      <c r="B31" s="14">
        <v>1.0</v>
      </c>
      <c r="C31" s="14">
        <v>2.5</v>
      </c>
      <c r="D31" s="14">
        <v>4.0</v>
      </c>
      <c r="E31" s="14">
        <v>1.0</v>
      </c>
      <c r="F31" s="14">
        <v>-1.0</v>
      </c>
      <c r="G31" s="14">
        <v>0.0</v>
      </c>
      <c r="H31" s="14">
        <v>2.0</v>
      </c>
      <c r="I31" s="14">
        <v>1.0</v>
      </c>
      <c r="J31" s="14">
        <v>0.0</v>
      </c>
      <c r="K31" s="14">
        <v>0.0</v>
      </c>
      <c r="L31" s="14">
        <v>-1.0</v>
      </c>
      <c r="M31" s="14">
        <v>2.0</v>
      </c>
      <c r="N31" s="14">
        <v>0.0</v>
      </c>
      <c r="O31" s="14">
        <v>0.0</v>
      </c>
      <c r="P31" s="14">
        <v>-2.0</v>
      </c>
      <c r="Q31" s="14">
        <v>-3.0</v>
      </c>
      <c r="R31" s="14">
        <v>1.0</v>
      </c>
      <c r="S31" s="14">
        <v>8.0</v>
      </c>
      <c r="T31" s="14">
        <v>0.0</v>
      </c>
      <c r="U31" s="14">
        <v>2.0</v>
      </c>
      <c r="V31" s="5" t="s">
        <v>48</v>
      </c>
    </row>
    <row r="32" ht="15.75" customHeight="1">
      <c r="A32" s="5" t="s">
        <v>78</v>
      </c>
      <c r="B32" s="14">
        <v>0.0</v>
      </c>
      <c r="C32" s="14">
        <v>0.0</v>
      </c>
      <c r="D32" s="14">
        <v>-2.0</v>
      </c>
      <c r="E32" s="14">
        <v>-1.0</v>
      </c>
      <c r="F32" s="14">
        <v>-2.0</v>
      </c>
      <c r="G32" s="14">
        <v>4.0</v>
      </c>
      <c r="H32" s="14">
        <v>1.0</v>
      </c>
      <c r="I32" s="14">
        <v>-2.0</v>
      </c>
      <c r="J32" s="14">
        <v>-2.0</v>
      </c>
      <c r="K32" s="14">
        <v>0.0</v>
      </c>
      <c r="L32" s="14">
        <v>-2.0</v>
      </c>
      <c r="M32" s="14">
        <v>-8.0</v>
      </c>
      <c r="N32" s="14">
        <v>-1.5</v>
      </c>
      <c r="O32" s="14">
        <v>2.0</v>
      </c>
      <c r="P32" s="14">
        <v>2.0</v>
      </c>
      <c r="Q32" s="14">
        <v>0.0</v>
      </c>
      <c r="R32" s="14">
        <v>0.0</v>
      </c>
      <c r="S32" s="14">
        <v>-2.0</v>
      </c>
      <c r="T32" s="14">
        <v>0.0</v>
      </c>
      <c r="U32" s="14">
        <v>-1.0</v>
      </c>
      <c r="V32" s="5" t="s">
        <v>48</v>
      </c>
    </row>
    <row r="33" ht="15.75" customHeight="1">
      <c r="A33" s="5" t="s">
        <v>79</v>
      </c>
      <c r="B33" s="14">
        <v>0.5</v>
      </c>
      <c r="C33" s="14">
        <v>0.5</v>
      </c>
      <c r="D33" s="14">
        <v>-1.0</v>
      </c>
      <c r="E33" s="14">
        <v>-0.5</v>
      </c>
      <c r="F33" s="14">
        <v>-1.5</v>
      </c>
      <c r="G33" s="14">
        <v>2.5</v>
      </c>
      <c r="H33" s="14">
        <v>1.0</v>
      </c>
      <c r="I33" s="14">
        <v>-1.0</v>
      </c>
      <c r="J33" s="14">
        <v>-1.0</v>
      </c>
      <c r="K33" s="14">
        <v>0.0</v>
      </c>
      <c r="L33" s="14">
        <v>-1.0</v>
      </c>
      <c r="M33" s="14">
        <v>-4.0</v>
      </c>
      <c r="N33" s="14">
        <v>-1.5</v>
      </c>
      <c r="O33" s="14">
        <v>1.5</v>
      </c>
      <c r="P33" s="14">
        <v>1.0</v>
      </c>
      <c r="Q33" s="14">
        <v>0.0</v>
      </c>
      <c r="R33" s="14">
        <v>0.0</v>
      </c>
      <c r="S33" s="14">
        <v>-2.0</v>
      </c>
      <c r="T33" s="14">
        <v>0.0</v>
      </c>
      <c r="U33" s="14">
        <v>-1.0</v>
      </c>
      <c r="V33" s="5" t="s">
        <v>48</v>
      </c>
    </row>
    <row r="34" ht="15.75" customHeight="1">
      <c r="A34" s="5" t="s">
        <v>80</v>
      </c>
      <c r="B34" s="14">
        <v>0.0</v>
      </c>
      <c r="C34" s="14">
        <v>0.0</v>
      </c>
      <c r="D34" s="14">
        <v>0.0</v>
      </c>
      <c r="E34" s="14">
        <v>0.0</v>
      </c>
      <c r="F34" s="14">
        <v>0.0</v>
      </c>
      <c r="G34" s="14">
        <v>0.0</v>
      </c>
      <c r="H34" s="14">
        <v>0.0</v>
      </c>
      <c r="I34" s="14">
        <v>0.0</v>
      </c>
      <c r="J34" s="14">
        <v>0.0</v>
      </c>
      <c r="K34" s="14">
        <v>0.0</v>
      </c>
      <c r="L34" s="14">
        <v>0.0</v>
      </c>
      <c r="M34" s="14">
        <v>0.0</v>
      </c>
      <c r="N34" s="14">
        <v>0.0</v>
      </c>
      <c r="O34" s="14">
        <v>0.0</v>
      </c>
      <c r="P34" s="14">
        <v>0.0</v>
      </c>
      <c r="Q34" s="14">
        <v>0.0</v>
      </c>
      <c r="R34" s="14">
        <v>0.0</v>
      </c>
      <c r="S34" s="14">
        <v>0.0</v>
      </c>
      <c r="T34" s="14">
        <v>0.0</v>
      </c>
      <c r="U34" s="14">
        <v>0.0</v>
      </c>
      <c r="V34" s="5" t="s">
        <v>48</v>
      </c>
    </row>
    <row r="35" ht="15.75" customHeight="1">
      <c r="A35" s="5" t="s">
        <v>81</v>
      </c>
      <c r="B35" s="14">
        <v>0.0</v>
      </c>
      <c r="C35" s="14">
        <v>0.25</v>
      </c>
      <c r="D35" s="14">
        <v>1.5</v>
      </c>
      <c r="E35" s="14">
        <v>0.75</v>
      </c>
      <c r="F35" s="14">
        <v>1.5</v>
      </c>
      <c r="G35" s="14">
        <v>0.0</v>
      </c>
      <c r="H35" s="14">
        <v>0.5</v>
      </c>
      <c r="I35" s="14">
        <v>0.75</v>
      </c>
      <c r="J35" s="14">
        <v>0.25</v>
      </c>
      <c r="K35" s="14">
        <v>0.5</v>
      </c>
      <c r="L35" s="14">
        <v>0.75</v>
      </c>
      <c r="M35" s="14">
        <v>1.5</v>
      </c>
      <c r="N35" s="14">
        <v>1.25</v>
      </c>
      <c r="O35" s="14">
        <v>0.25</v>
      </c>
      <c r="P35" s="14">
        <v>0.5</v>
      </c>
      <c r="Q35" s="14">
        <v>0.25</v>
      </c>
      <c r="R35" s="14">
        <v>0.25</v>
      </c>
      <c r="S35" s="14">
        <v>2.0</v>
      </c>
      <c r="T35" s="14">
        <v>0.5</v>
      </c>
      <c r="U35" s="14">
        <v>1.75</v>
      </c>
      <c r="V35" s="5" t="s">
        <v>48</v>
      </c>
    </row>
    <row r="36" ht="15.75" customHeight="1">
      <c r="A36" s="7" t="s">
        <v>82</v>
      </c>
      <c r="B36" s="15">
        <v>0.0</v>
      </c>
      <c r="C36" s="15">
        <v>0.5</v>
      </c>
      <c r="D36" s="15">
        <v>0.5</v>
      </c>
      <c r="E36" s="15">
        <v>0.0</v>
      </c>
      <c r="F36" s="15">
        <v>1.0</v>
      </c>
      <c r="G36" s="15">
        <v>0.0</v>
      </c>
      <c r="H36" s="15">
        <v>0.0</v>
      </c>
      <c r="I36" s="15">
        <v>0.5</v>
      </c>
      <c r="J36" s="15">
        <v>1.0</v>
      </c>
      <c r="K36" s="15">
        <v>0.0</v>
      </c>
      <c r="L36" s="15">
        <v>0.0</v>
      </c>
      <c r="M36" s="15">
        <v>1.0</v>
      </c>
      <c r="N36" s="15">
        <v>0.5</v>
      </c>
      <c r="O36" s="15">
        <v>0.0</v>
      </c>
      <c r="P36" s="15">
        <v>0.5</v>
      </c>
      <c r="Q36" s="15">
        <v>0.0</v>
      </c>
      <c r="R36" s="15">
        <v>0.0</v>
      </c>
      <c r="S36" s="15">
        <v>0.5</v>
      </c>
      <c r="T36" s="15">
        <v>0.0</v>
      </c>
      <c r="U36" s="15">
        <v>0.5</v>
      </c>
      <c r="V36" s="5" t="s">
        <v>83</v>
      </c>
    </row>
    <row r="37" ht="15.75" customHeight="1">
      <c r="A37" s="7" t="s">
        <v>84</v>
      </c>
      <c r="B37" s="15">
        <v>0.0</v>
      </c>
      <c r="C37" s="15">
        <v>0.0</v>
      </c>
      <c r="D37" s="15">
        <v>1.0</v>
      </c>
      <c r="E37" s="15">
        <v>0.5</v>
      </c>
      <c r="F37" s="15">
        <v>2.0</v>
      </c>
      <c r="G37" s="15">
        <v>0.0</v>
      </c>
      <c r="H37" s="15">
        <v>0.0</v>
      </c>
      <c r="I37" s="15">
        <v>1.0</v>
      </c>
      <c r="J37" s="15">
        <v>2.0</v>
      </c>
      <c r="K37" s="15">
        <v>0.0</v>
      </c>
      <c r="L37" s="15">
        <v>0.5</v>
      </c>
      <c r="M37" s="15">
        <v>2.0</v>
      </c>
      <c r="N37" s="15">
        <v>1.5</v>
      </c>
      <c r="O37" s="15">
        <v>0.0</v>
      </c>
      <c r="P37" s="15">
        <v>1.0</v>
      </c>
      <c r="Q37" s="15">
        <v>0.0</v>
      </c>
      <c r="R37" s="15">
        <v>0.5</v>
      </c>
      <c r="S37" s="15">
        <v>1.0</v>
      </c>
      <c r="T37" s="15">
        <v>0.5</v>
      </c>
      <c r="U37" s="15">
        <v>1.5</v>
      </c>
      <c r="V37" s="5" t="s">
        <v>83</v>
      </c>
    </row>
    <row r="38" ht="15.75" customHeight="1">
      <c r="A38" s="7" t="s">
        <v>85</v>
      </c>
      <c r="B38" s="15">
        <v>0.0</v>
      </c>
      <c r="C38" s="15">
        <v>0.5</v>
      </c>
      <c r="D38" s="15">
        <v>0.5</v>
      </c>
      <c r="E38" s="15">
        <v>0.0</v>
      </c>
      <c r="F38" s="15">
        <v>1.0</v>
      </c>
      <c r="G38" s="15">
        <v>0.0</v>
      </c>
      <c r="H38" s="15">
        <v>0.0</v>
      </c>
      <c r="I38" s="15">
        <v>0.5</v>
      </c>
      <c r="J38" s="15">
        <v>1.0</v>
      </c>
      <c r="K38" s="15">
        <v>0.0</v>
      </c>
      <c r="L38" s="15">
        <v>0.0</v>
      </c>
      <c r="M38" s="15">
        <v>1.0</v>
      </c>
      <c r="N38" s="15">
        <v>0.5</v>
      </c>
      <c r="O38" s="15">
        <v>0.0</v>
      </c>
      <c r="P38" s="15">
        <v>0.5</v>
      </c>
      <c r="Q38" s="15">
        <v>0.0</v>
      </c>
      <c r="R38" s="15">
        <v>0.0</v>
      </c>
      <c r="S38" s="15">
        <v>0.5</v>
      </c>
      <c r="T38" s="15">
        <v>0.0</v>
      </c>
      <c r="U38" s="15">
        <v>0.5</v>
      </c>
      <c r="V38" s="5" t="s">
        <v>83</v>
      </c>
    </row>
    <row r="39" ht="15.75" customHeight="1">
      <c r="A39" s="7" t="s">
        <v>86</v>
      </c>
      <c r="B39" s="15">
        <v>1.0</v>
      </c>
      <c r="C39" s="15">
        <v>1.5</v>
      </c>
      <c r="D39" s="15">
        <v>-0.5</v>
      </c>
      <c r="E39" s="15">
        <v>-0.5</v>
      </c>
      <c r="F39" s="15">
        <v>-2.5</v>
      </c>
      <c r="G39" s="15">
        <v>0.5</v>
      </c>
      <c r="H39" s="15">
        <v>0.0</v>
      </c>
      <c r="I39" s="15">
        <v>-0.5</v>
      </c>
      <c r="J39" s="15">
        <v>-1.0</v>
      </c>
      <c r="K39" s="15">
        <v>0.0</v>
      </c>
      <c r="L39" s="15">
        <v>-0.5</v>
      </c>
      <c r="M39" s="15">
        <v>-1.0</v>
      </c>
      <c r="N39" s="15">
        <v>-1.5</v>
      </c>
      <c r="O39" s="15">
        <v>0.5</v>
      </c>
      <c r="P39" s="15">
        <v>0.0</v>
      </c>
      <c r="Q39" s="15">
        <v>0.0</v>
      </c>
      <c r="R39" s="15">
        <v>0.0</v>
      </c>
      <c r="S39" s="15">
        <v>0.0</v>
      </c>
      <c r="T39" s="15">
        <v>0.0</v>
      </c>
      <c r="U39" s="15">
        <v>-1.0</v>
      </c>
      <c r="V39" s="5" t="s">
        <v>83</v>
      </c>
    </row>
    <row r="40" ht="15.75" customHeight="1">
      <c r="A40" s="7" t="s">
        <v>87</v>
      </c>
      <c r="B40" s="15">
        <v>0.0</v>
      </c>
      <c r="C40" s="15">
        <v>0.25</v>
      </c>
      <c r="D40" s="15">
        <v>1.5</v>
      </c>
      <c r="E40" s="15">
        <v>0.75</v>
      </c>
      <c r="F40" s="15">
        <v>1.5</v>
      </c>
      <c r="G40" s="15">
        <v>0.0</v>
      </c>
      <c r="H40" s="15">
        <v>0.5</v>
      </c>
      <c r="I40" s="15">
        <v>0.75</v>
      </c>
      <c r="J40" s="15">
        <v>0.25</v>
      </c>
      <c r="K40" s="15">
        <v>0.5</v>
      </c>
      <c r="L40" s="15">
        <v>0.75</v>
      </c>
      <c r="M40" s="15">
        <v>1.5</v>
      </c>
      <c r="N40" s="15">
        <v>1.25</v>
      </c>
      <c r="O40" s="15">
        <v>0.25</v>
      </c>
      <c r="P40" s="15">
        <v>0.5</v>
      </c>
      <c r="Q40" s="15">
        <v>0.25</v>
      </c>
      <c r="R40" s="15">
        <v>0.25</v>
      </c>
      <c r="S40" s="15">
        <v>2.0</v>
      </c>
      <c r="T40" s="15">
        <v>0.5</v>
      </c>
      <c r="U40" s="15">
        <v>1.75</v>
      </c>
      <c r="V40" s="5" t="s">
        <v>83</v>
      </c>
    </row>
    <row r="41" ht="15.75" customHeight="1">
      <c r="A41" s="7" t="s">
        <v>88</v>
      </c>
      <c r="B41" s="15">
        <v>0.0</v>
      </c>
      <c r="C41" s="15">
        <v>0.25</v>
      </c>
      <c r="D41" s="15">
        <v>1.5</v>
      </c>
      <c r="E41" s="15">
        <v>0.75</v>
      </c>
      <c r="F41" s="15">
        <v>1.5</v>
      </c>
      <c r="G41" s="15">
        <v>0.0</v>
      </c>
      <c r="H41" s="15">
        <v>0.5</v>
      </c>
      <c r="I41" s="15">
        <v>0.75</v>
      </c>
      <c r="J41" s="15">
        <v>0.25</v>
      </c>
      <c r="K41" s="15">
        <v>0.5</v>
      </c>
      <c r="L41" s="15">
        <v>0.75</v>
      </c>
      <c r="M41" s="15">
        <v>1.5</v>
      </c>
      <c r="N41" s="15">
        <v>1.25</v>
      </c>
      <c r="O41" s="15">
        <v>0.25</v>
      </c>
      <c r="P41" s="15">
        <v>0.5</v>
      </c>
      <c r="Q41" s="15">
        <v>0.25</v>
      </c>
      <c r="R41" s="15">
        <v>0.25</v>
      </c>
      <c r="S41" s="15">
        <v>2.0</v>
      </c>
      <c r="T41" s="15">
        <v>0.5</v>
      </c>
      <c r="U41" s="15">
        <v>1.75</v>
      </c>
      <c r="V41" s="5" t="s">
        <v>83</v>
      </c>
    </row>
    <row r="42" ht="15.75" customHeight="1">
      <c r="A42" s="7" t="s">
        <v>89</v>
      </c>
      <c r="B42" s="15">
        <v>0.0</v>
      </c>
      <c r="C42" s="15">
        <v>1.0</v>
      </c>
      <c r="D42" s="15">
        <v>-1.0</v>
      </c>
      <c r="E42" s="15">
        <v>0.0</v>
      </c>
      <c r="F42" s="15">
        <v>-2.0</v>
      </c>
      <c r="G42" s="15">
        <v>0.0</v>
      </c>
      <c r="H42" s="15">
        <v>0.0</v>
      </c>
      <c r="I42" s="15">
        <v>-1.0</v>
      </c>
      <c r="J42" s="15">
        <v>-1.0</v>
      </c>
      <c r="K42" s="15">
        <v>0.0</v>
      </c>
      <c r="L42" s="15">
        <v>-2.0</v>
      </c>
      <c r="M42" s="15">
        <v>-1.0</v>
      </c>
      <c r="N42" s="15">
        <v>-1.0</v>
      </c>
      <c r="O42" s="15">
        <v>0.0</v>
      </c>
      <c r="P42" s="15">
        <v>0.0</v>
      </c>
      <c r="Q42" s="15">
        <v>0.0</v>
      </c>
      <c r="R42" s="15">
        <v>0.0</v>
      </c>
      <c r="S42" s="15">
        <v>0.0</v>
      </c>
      <c r="T42" s="15">
        <v>0.0</v>
      </c>
      <c r="U42" s="15">
        <v>-1.0</v>
      </c>
      <c r="V42" s="5" t="s">
        <v>83</v>
      </c>
    </row>
    <row r="43" ht="15.75" customHeight="1">
      <c r="A43" s="7" t="s">
        <v>90</v>
      </c>
      <c r="B43" s="15">
        <v>0.0</v>
      </c>
      <c r="C43" s="15">
        <v>1.0</v>
      </c>
      <c r="D43" s="15">
        <v>-1.0</v>
      </c>
      <c r="E43" s="15">
        <v>0.0</v>
      </c>
      <c r="F43" s="15">
        <v>-2.0</v>
      </c>
      <c r="G43" s="15">
        <v>0.0</v>
      </c>
      <c r="H43" s="15">
        <v>0.0</v>
      </c>
      <c r="I43" s="15">
        <v>-1.0</v>
      </c>
      <c r="J43" s="15">
        <v>-1.0</v>
      </c>
      <c r="K43" s="15">
        <v>0.0</v>
      </c>
      <c r="L43" s="15">
        <v>-2.0</v>
      </c>
      <c r="M43" s="15">
        <v>-1.0</v>
      </c>
      <c r="N43" s="15">
        <v>-1.0</v>
      </c>
      <c r="O43" s="15">
        <v>0.0</v>
      </c>
      <c r="P43" s="15">
        <v>0.0</v>
      </c>
      <c r="Q43" s="15">
        <v>0.0</v>
      </c>
      <c r="R43" s="15">
        <v>0.0</v>
      </c>
      <c r="S43" s="15">
        <v>0.0</v>
      </c>
      <c r="T43" s="15">
        <v>0.0</v>
      </c>
      <c r="U43" s="15">
        <v>-1.0</v>
      </c>
      <c r="V43" s="5" t="s">
        <v>83</v>
      </c>
    </row>
    <row r="44" ht="15.75" customHeight="1">
      <c r="A44" s="7" t="s">
        <v>91</v>
      </c>
      <c r="B44" s="15">
        <v>0.0</v>
      </c>
      <c r="C44" s="15">
        <v>0.0</v>
      </c>
      <c r="D44" s="15">
        <v>0.0</v>
      </c>
      <c r="E44" s="15">
        <v>0.0</v>
      </c>
      <c r="F44" s="15">
        <v>1.0</v>
      </c>
      <c r="G44" s="15">
        <v>0.0</v>
      </c>
      <c r="H44" s="15">
        <v>0.0</v>
      </c>
      <c r="I44" s="15">
        <v>1.0</v>
      </c>
      <c r="J44" s="15">
        <v>4.0</v>
      </c>
      <c r="K44" s="15">
        <v>0.0</v>
      </c>
      <c r="L44" s="15">
        <v>0.0</v>
      </c>
      <c r="M44" s="15">
        <v>1.0</v>
      </c>
      <c r="N44" s="15">
        <v>0.0</v>
      </c>
      <c r="O44" s="15">
        <v>0.0</v>
      </c>
      <c r="P44" s="15">
        <v>0.0</v>
      </c>
      <c r="Q44" s="15">
        <v>0.0</v>
      </c>
      <c r="R44" s="15">
        <v>0.0</v>
      </c>
      <c r="S44" s="15">
        <v>0.0</v>
      </c>
      <c r="T44" s="15">
        <v>0.0</v>
      </c>
      <c r="U44" s="15">
        <v>0.0</v>
      </c>
      <c r="V44" s="5" t="s">
        <v>83</v>
      </c>
    </row>
    <row r="45" ht="15.75" customHeight="1">
      <c r="A45" s="7" t="s">
        <v>92</v>
      </c>
      <c r="B45" s="15">
        <v>0.0</v>
      </c>
      <c r="C45" s="15">
        <v>0.0</v>
      </c>
      <c r="D45" s="15">
        <v>0.0</v>
      </c>
      <c r="E45" s="15">
        <v>0.0</v>
      </c>
      <c r="F45" s="15">
        <v>-1.0</v>
      </c>
      <c r="G45" s="15">
        <v>1.0</v>
      </c>
      <c r="H45" s="15">
        <v>0.0</v>
      </c>
      <c r="I45" s="15">
        <v>0.0</v>
      </c>
      <c r="J45" s="15">
        <v>0.0</v>
      </c>
      <c r="K45" s="15">
        <v>0.0</v>
      </c>
      <c r="L45" s="15">
        <v>0.0</v>
      </c>
      <c r="M45" s="15">
        <v>0.0</v>
      </c>
      <c r="N45" s="15">
        <v>0.0</v>
      </c>
      <c r="O45" s="15">
        <v>1.5</v>
      </c>
      <c r="P45" s="15">
        <v>0.0</v>
      </c>
      <c r="Q45" s="15">
        <v>0.0</v>
      </c>
      <c r="R45" s="15">
        <v>0.0</v>
      </c>
      <c r="S45" s="15">
        <v>0.0</v>
      </c>
      <c r="T45" s="15">
        <v>0.0</v>
      </c>
      <c r="U45" s="15">
        <v>0.0</v>
      </c>
      <c r="V45" s="5" t="s">
        <v>83</v>
      </c>
    </row>
    <row r="46" ht="15.75" customHeight="1">
      <c r="A46" s="7" t="s">
        <v>93</v>
      </c>
      <c r="B46" s="15">
        <v>0.0</v>
      </c>
      <c r="C46" s="15">
        <v>-1.0</v>
      </c>
      <c r="D46" s="15">
        <v>2.0</v>
      </c>
      <c r="E46" s="15">
        <v>2.0</v>
      </c>
      <c r="F46" s="15">
        <v>2.0</v>
      </c>
      <c r="G46" s="15">
        <v>-0.5</v>
      </c>
      <c r="H46" s="15">
        <v>0.0</v>
      </c>
      <c r="I46" s="15">
        <v>1.0</v>
      </c>
      <c r="J46" s="15">
        <v>1.0</v>
      </c>
      <c r="K46" s="15">
        <v>0.5</v>
      </c>
      <c r="L46" s="15">
        <v>1.0</v>
      </c>
      <c r="M46" s="15">
        <v>1.5</v>
      </c>
      <c r="N46" s="15">
        <v>1.5</v>
      </c>
      <c r="O46" s="15">
        <v>0.0</v>
      </c>
      <c r="P46" s="15">
        <v>1.0</v>
      </c>
      <c r="Q46" s="15">
        <v>0.5</v>
      </c>
      <c r="R46" s="15">
        <v>0.5</v>
      </c>
      <c r="S46" s="15">
        <v>1.5</v>
      </c>
      <c r="T46" s="15">
        <v>1.0</v>
      </c>
      <c r="U46" s="15">
        <v>2.0</v>
      </c>
      <c r="V46" s="5" t="s">
        <v>83</v>
      </c>
    </row>
    <row r="47" ht="15.75" customHeight="1">
      <c r="A47" s="7" t="s">
        <v>94</v>
      </c>
      <c r="B47" s="15">
        <v>0.0</v>
      </c>
      <c r="C47" s="15">
        <v>0.0</v>
      </c>
      <c r="D47" s="15">
        <v>0.0</v>
      </c>
      <c r="E47" s="15">
        <v>0.0</v>
      </c>
      <c r="F47" s="15">
        <v>0.0</v>
      </c>
      <c r="G47" s="15">
        <v>0.0</v>
      </c>
      <c r="H47" s="15">
        <v>0.0</v>
      </c>
      <c r="I47" s="15">
        <v>0.0</v>
      </c>
      <c r="J47" s="15">
        <v>0.0</v>
      </c>
      <c r="K47" s="15">
        <v>0.0</v>
      </c>
      <c r="L47" s="15">
        <v>0.0</v>
      </c>
      <c r="M47" s="15">
        <v>0.0</v>
      </c>
      <c r="N47" s="15">
        <v>0.0</v>
      </c>
      <c r="O47" s="15">
        <v>0.0</v>
      </c>
      <c r="P47" s="15">
        <v>0.0</v>
      </c>
      <c r="Q47" s="15">
        <v>0.0</v>
      </c>
      <c r="R47" s="15">
        <v>0.0</v>
      </c>
      <c r="S47" s="15">
        <v>0.0</v>
      </c>
      <c r="T47" s="15">
        <v>0.0</v>
      </c>
      <c r="U47" s="15">
        <v>0.0</v>
      </c>
      <c r="V47" s="5" t="s">
        <v>83</v>
      </c>
    </row>
    <row r="48" ht="15.75" customHeight="1">
      <c r="A48" s="9" t="s">
        <v>95</v>
      </c>
      <c r="B48" s="16">
        <v>0.0</v>
      </c>
      <c r="C48" s="16">
        <v>0.0</v>
      </c>
      <c r="D48" s="16">
        <v>0.0</v>
      </c>
      <c r="E48" s="16">
        <v>0.0</v>
      </c>
      <c r="F48" s="16">
        <v>0.0</v>
      </c>
      <c r="G48" s="16">
        <v>0.0</v>
      </c>
      <c r="H48" s="16">
        <v>0.0</v>
      </c>
      <c r="I48" s="16">
        <v>0.0</v>
      </c>
      <c r="J48" s="16">
        <v>0.0</v>
      </c>
      <c r="K48" s="16">
        <v>0.0</v>
      </c>
      <c r="L48" s="16">
        <v>0.0</v>
      </c>
      <c r="M48" s="16">
        <v>0.0</v>
      </c>
      <c r="N48" s="16">
        <v>0.0</v>
      </c>
      <c r="O48" s="16">
        <v>0.0</v>
      </c>
      <c r="P48" s="16">
        <v>0.0</v>
      </c>
      <c r="Q48" s="16">
        <v>0.0</v>
      </c>
      <c r="R48" s="16">
        <v>0.0</v>
      </c>
      <c r="S48" s="16">
        <v>0.0</v>
      </c>
      <c r="T48" s="16">
        <v>0.0</v>
      </c>
      <c r="U48" s="16">
        <v>0.0</v>
      </c>
      <c r="V48" s="5" t="s">
        <v>96</v>
      </c>
    </row>
    <row r="49" ht="15.75" customHeight="1">
      <c r="A49" s="9" t="s">
        <v>97</v>
      </c>
      <c r="B49" s="16">
        <v>0.5</v>
      </c>
      <c r="C49" s="16">
        <v>0.25</v>
      </c>
      <c r="D49" s="16">
        <v>1.5</v>
      </c>
      <c r="E49" s="16">
        <v>0.25</v>
      </c>
      <c r="F49" s="16">
        <v>0.25</v>
      </c>
      <c r="G49" s="16">
        <v>0.0</v>
      </c>
      <c r="H49" s="16">
        <v>1.5</v>
      </c>
      <c r="I49" s="16">
        <v>0.5</v>
      </c>
      <c r="J49" s="16">
        <v>0.0</v>
      </c>
      <c r="K49" s="16">
        <v>0.25</v>
      </c>
      <c r="L49" s="16">
        <v>0.25</v>
      </c>
      <c r="M49" s="16">
        <v>1.0</v>
      </c>
      <c r="N49" s="16">
        <v>0.25</v>
      </c>
      <c r="O49" s="16">
        <v>0.25</v>
      </c>
      <c r="P49" s="16">
        <v>0.0</v>
      </c>
      <c r="Q49" s="16">
        <v>1.5</v>
      </c>
      <c r="R49" s="16">
        <v>0.75</v>
      </c>
      <c r="S49" s="16">
        <v>2.5</v>
      </c>
      <c r="T49" s="16">
        <v>0.0</v>
      </c>
      <c r="U49" s="16">
        <v>0.5</v>
      </c>
      <c r="V49" s="5" t="s">
        <v>96</v>
      </c>
    </row>
    <row r="50" ht="15.75" customHeight="1">
      <c r="A50" s="5" t="s">
        <v>98</v>
      </c>
      <c r="B50" s="14">
        <v>0.6</v>
      </c>
      <c r="C50" s="14">
        <v>0.9</v>
      </c>
      <c r="D50" s="14">
        <v>-0.6</v>
      </c>
      <c r="E50" s="14">
        <v>-0.2</v>
      </c>
      <c r="F50" s="14">
        <v>-0.2</v>
      </c>
      <c r="G50" s="14">
        <v>1.2</v>
      </c>
      <c r="H50" s="14">
        <v>0.2</v>
      </c>
      <c r="I50" s="14">
        <v>0.8</v>
      </c>
      <c r="J50" s="14">
        <v>0.6</v>
      </c>
      <c r="K50" s="14">
        <v>0.6</v>
      </c>
      <c r="L50" s="14">
        <v>0.0</v>
      </c>
      <c r="M50" s="14">
        <v>1.4</v>
      </c>
      <c r="N50" s="14">
        <v>0.0</v>
      </c>
      <c r="O50" s="14">
        <v>2.2</v>
      </c>
      <c r="P50" s="14">
        <v>0.6</v>
      </c>
      <c r="Q50" s="14">
        <v>0.0</v>
      </c>
      <c r="R50" s="14">
        <v>0.0</v>
      </c>
      <c r="S50" s="14">
        <v>-0.6</v>
      </c>
      <c r="T50" s="14">
        <v>1.2</v>
      </c>
      <c r="U50" s="14">
        <v>0.6</v>
      </c>
      <c r="V50" s="5" t="s">
        <v>99</v>
      </c>
    </row>
    <row r="51" ht="15.75" customHeight="1">
      <c r="A51" s="9" t="s">
        <v>100</v>
      </c>
      <c r="B51" s="16">
        <v>0.6</v>
      </c>
      <c r="C51" s="16">
        <v>0.9</v>
      </c>
      <c r="D51" s="16">
        <v>-0.6</v>
      </c>
      <c r="E51" s="16">
        <v>-0.2</v>
      </c>
      <c r="F51" s="16">
        <v>-0.2</v>
      </c>
      <c r="G51" s="16">
        <v>1.2</v>
      </c>
      <c r="H51" s="16">
        <v>0.2</v>
      </c>
      <c r="I51" s="16">
        <v>0.8</v>
      </c>
      <c r="J51" s="16">
        <v>0.6</v>
      </c>
      <c r="K51" s="16">
        <v>0.6</v>
      </c>
      <c r="L51" s="16">
        <v>0.0</v>
      </c>
      <c r="M51" s="16">
        <v>1.4</v>
      </c>
      <c r="N51" s="16">
        <v>0.0</v>
      </c>
      <c r="O51" s="16">
        <v>2.2</v>
      </c>
      <c r="P51" s="16">
        <v>0.6</v>
      </c>
      <c r="Q51" s="16">
        <v>0.0</v>
      </c>
      <c r="R51" s="16">
        <v>0.0</v>
      </c>
      <c r="S51" s="16">
        <v>-0.6</v>
      </c>
      <c r="T51" s="16">
        <v>1.2</v>
      </c>
      <c r="U51" s="16">
        <v>0.6</v>
      </c>
      <c r="V51" s="5" t="s">
        <v>96</v>
      </c>
    </row>
    <row r="52" ht="15.75" customHeight="1">
      <c r="A52" s="5" t="s">
        <v>101</v>
      </c>
      <c r="B52" s="14">
        <v>0.0</v>
      </c>
      <c r="C52" s="14">
        <v>-1.0</v>
      </c>
      <c r="D52" s="14">
        <v>2.0</v>
      </c>
      <c r="E52" s="14">
        <v>2.0</v>
      </c>
      <c r="F52" s="14">
        <v>2.0</v>
      </c>
      <c r="G52" s="14">
        <v>-0.5</v>
      </c>
      <c r="H52" s="14">
        <v>0.0</v>
      </c>
      <c r="I52" s="14">
        <v>1.0</v>
      </c>
      <c r="J52" s="14">
        <v>1.0</v>
      </c>
      <c r="K52" s="14">
        <v>0.5</v>
      </c>
      <c r="L52" s="14">
        <v>1.0</v>
      </c>
      <c r="M52" s="14">
        <v>1.5</v>
      </c>
      <c r="N52" s="14">
        <v>1.5</v>
      </c>
      <c r="O52" s="14">
        <v>0.0</v>
      </c>
      <c r="P52" s="14">
        <v>1.0</v>
      </c>
      <c r="Q52" s="14">
        <v>0.5</v>
      </c>
      <c r="R52" s="14">
        <v>0.5</v>
      </c>
      <c r="S52" s="14">
        <v>1.5</v>
      </c>
      <c r="T52" s="14">
        <v>1.0</v>
      </c>
      <c r="U52" s="14">
        <v>2.0</v>
      </c>
      <c r="V52" s="5" t="s">
        <v>99</v>
      </c>
    </row>
    <row r="53" ht="15.75" customHeight="1">
      <c r="A53" s="9" t="s">
        <v>102</v>
      </c>
      <c r="B53" s="16">
        <v>0.0</v>
      </c>
      <c r="C53" s="16">
        <v>0.0</v>
      </c>
      <c r="D53" s="16">
        <v>0.0</v>
      </c>
      <c r="E53" s="16">
        <v>0.0</v>
      </c>
      <c r="F53" s="16">
        <v>1.0</v>
      </c>
      <c r="G53" s="16">
        <v>0.0</v>
      </c>
      <c r="H53" s="16">
        <v>0.0</v>
      </c>
      <c r="I53" s="16">
        <v>1.0</v>
      </c>
      <c r="J53" s="16">
        <v>4.0</v>
      </c>
      <c r="K53" s="16">
        <v>0.0</v>
      </c>
      <c r="L53" s="16">
        <v>0.0</v>
      </c>
      <c r="M53" s="16">
        <v>1.0</v>
      </c>
      <c r="N53" s="16">
        <v>0.0</v>
      </c>
      <c r="O53" s="16">
        <v>0.0</v>
      </c>
      <c r="P53" s="16">
        <v>0.0</v>
      </c>
      <c r="Q53" s="16">
        <v>0.0</v>
      </c>
      <c r="R53" s="16">
        <v>0.0</v>
      </c>
      <c r="S53" s="16">
        <v>0.0</v>
      </c>
      <c r="T53" s="16">
        <v>0.0</v>
      </c>
      <c r="U53" s="16">
        <v>0.0</v>
      </c>
      <c r="V53" s="5" t="s">
        <v>96</v>
      </c>
    </row>
    <row r="54" ht="15.75" customHeight="1">
      <c r="A54" s="5" t="s">
        <v>103</v>
      </c>
      <c r="B54" s="14">
        <v>0.0</v>
      </c>
      <c r="C54" s="14">
        <v>0.35</v>
      </c>
      <c r="D54" s="14">
        <v>0.65</v>
      </c>
      <c r="E54" s="14">
        <v>0.15</v>
      </c>
      <c r="F54" s="14">
        <v>1.3</v>
      </c>
      <c r="G54" s="14">
        <v>0.0</v>
      </c>
      <c r="H54" s="14">
        <v>0.0</v>
      </c>
      <c r="I54" s="14">
        <v>0.65</v>
      </c>
      <c r="J54" s="14">
        <v>1.3</v>
      </c>
      <c r="K54" s="14">
        <v>0.0</v>
      </c>
      <c r="L54" s="14">
        <v>0.15</v>
      </c>
      <c r="M54" s="14">
        <v>1.3</v>
      </c>
      <c r="N54" s="14">
        <v>0.8</v>
      </c>
      <c r="O54" s="14">
        <v>0.0</v>
      </c>
      <c r="P54" s="14">
        <v>0.65</v>
      </c>
      <c r="Q54" s="14">
        <v>0.0</v>
      </c>
      <c r="R54" s="14">
        <v>0.15</v>
      </c>
      <c r="S54" s="14">
        <v>0.65</v>
      </c>
      <c r="T54" s="14">
        <v>0.15</v>
      </c>
      <c r="U54" s="14">
        <v>0.8</v>
      </c>
      <c r="V54" s="5" t="s">
        <v>99</v>
      </c>
    </row>
    <row r="55" ht="15.75" customHeight="1">
      <c r="A55" s="9" t="s">
        <v>104</v>
      </c>
      <c r="B55" s="16">
        <v>0.0</v>
      </c>
      <c r="C55" s="16">
        <v>-1.0</v>
      </c>
      <c r="D55" s="16">
        <v>-1.0</v>
      </c>
      <c r="E55" s="16">
        <v>0.0</v>
      </c>
      <c r="F55" s="16">
        <v>1.0</v>
      </c>
      <c r="G55" s="16">
        <v>0.0</v>
      </c>
      <c r="H55" s="16">
        <v>0.0</v>
      </c>
      <c r="I55" s="16">
        <v>0.0</v>
      </c>
      <c r="J55" s="16">
        <v>0.0</v>
      </c>
      <c r="K55" s="16">
        <v>0.0</v>
      </c>
      <c r="L55" s="16">
        <v>1.0</v>
      </c>
      <c r="M55" s="16">
        <v>1.0</v>
      </c>
      <c r="N55" s="16">
        <v>1.0</v>
      </c>
      <c r="O55" s="16">
        <v>0.0</v>
      </c>
      <c r="P55" s="16">
        <v>1.0</v>
      </c>
      <c r="Q55" s="16">
        <v>0.0</v>
      </c>
      <c r="R55" s="16">
        <v>0.0</v>
      </c>
      <c r="S55" s="16">
        <v>-1.0</v>
      </c>
      <c r="T55" s="16">
        <v>0.0</v>
      </c>
      <c r="U55" s="16">
        <v>-1.0</v>
      </c>
      <c r="V55" s="5" t="s">
        <v>96</v>
      </c>
    </row>
    <row r="56" ht="15.75" customHeight="1">
      <c r="A56" s="5" t="s">
        <v>105</v>
      </c>
      <c r="B56" s="14">
        <v>0.0</v>
      </c>
      <c r="C56" s="14">
        <v>-1.0</v>
      </c>
      <c r="D56" s="14">
        <v>-1.0</v>
      </c>
      <c r="E56" s="14">
        <v>0.0</v>
      </c>
      <c r="F56" s="14">
        <v>1.0</v>
      </c>
      <c r="G56" s="14">
        <v>0.0</v>
      </c>
      <c r="H56" s="14">
        <v>0.0</v>
      </c>
      <c r="I56" s="14">
        <v>0.0</v>
      </c>
      <c r="J56" s="14">
        <v>0.0</v>
      </c>
      <c r="K56" s="14">
        <v>0.0</v>
      </c>
      <c r="L56" s="14">
        <v>1.0</v>
      </c>
      <c r="M56" s="14">
        <v>1.0</v>
      </c>
      <c r="N56" s="14">
        <v>1.0</v>
      </c>
      <c r="O56" s="14">
        <v>0.0</v>
      </c>
      <c r="P56" s="14">
        <v>1.0</v>
      </c>
      <c r="Q56" s="14">
        <v>0.0</v>
      </c>
      <c r="R56" s="14">
        <v>0.0</v>
      </c>
      <c r="S56" s="14">
        <v>-1.0</v>
      </c>
      <c r="T56" s="14">
        <v>0.0</v>
      </c>
      <c r="U56" s="14">
        <v>-1.0</v>
      </c>
      <c r="V56" s="5" t="s">
        <v>99</v>
      </c>
    </row>
    <row r="57" ht="15.75" customHeight="1">
      <c r="A57" s="9" t="s">
        <v>106</v>
      </c>
      <c r="B57" s="16">
        <v>0.6</v>
      </c>
      <c r="C57" s="16">
        <v>0.9</v>
      </c>
      <c r="D57" s="16">
        <v>-0.6</v>
      </c>
      <c r="E57" s="16">
        <v>-0.2</v>
      </c>
      <c r="F57" s="16">
        <v>-0.2</v>
      </c>
      <c r="G57" s="16">
        <v>1.2</v>
      </c>
      <c r="H57" s="16">
        <v>0.2</v>
      </c>
      <c r="I57" s="16">
        <v>0.8</v>
      </c>
      <c r="J57" s="16">
        <v>0.6</v>
      </c>
      <c r="K57" s="16">
        <v>0.6</v>
      </c>
      <c r="L57" s="16">
        <v>0.0</v>
      </c>
      <c r="M57" s="16">
        <v>1.4</v>
      </c>
      <c r="N57" s="16">
        <v>0.0</v>
      </c>
      <c r="O57" s="16">
        <v>2.2</v>
      </c>
      <c r="P57" s="16">
        <v>0.6</v>
      </c>
      <c r="Q57" s="16">
        <v>0.0</v>
      </c>
      <c r="R57" s="16">
        <v>0.0</v>
      </c>
      <c r="S57" s="16">
        <v>-0.6</v>
      </c>
      <c r="T57" s="16">
        <v>1.2</v>
      </c>
      <c r="U57" s="16">
        <v>0.6</v>
      </c>
      <c r="V57" s="5" t="s">
        <v>96</v>
      </c>
    </row>
    <row r="58" ht="15.75" customHeight="1">
      <c r="A58" s="9" t="s">
        <v>107</v>
      </c>
      <c r="B58" s="16">
        <v>0.0</v>
      </c>
      <c r="C58" s="16">
        <v>1.0</v>
      </c>
      <c r="D58" s="16">
        <v>-1.0</v>
      </c>
      <c r="E58" s="16">
        <v>0.0</v>
      </c>
      <c r="F58" s="16">
        <v>-1.0</v>
      </c>
      <c r="G58" s="16">
        <v>0.0</v>
      </c>
      <c r="H58" s="16">
        <v>0.0</v>
      </c>
      <c r="I58" s="16">
        <v>-1.0</v>
      </c>
      <c r="J58" s="16">
        <v>-1.0</v>
      </c>
      <c r="K58" s="16">
        <v>0.0</v>
      </c>
      <c r="L58" s="16">
        <v>-2.0</v>
      </c>
      <c r="M58" s="16">
        <v>0.0</v>
      </c>
      <c r="N58" s="16">
        <v>0.0</v>
      </c>
      <c r="O58" s="16">
        <v>0.0</v>
      </c>
      <c r="P58" s="16">
        <v>0.0</v>
      </c>
      <c r="Q58" s="16">
        <v>0.0</v>
      </c>
      <c r="R58" s="16">
        <v>-0.5</v>
      </c>
      <c r="S58" s="16">
        <v>0.0</v>
      </c>
      <c r="T58" s="16">
        <v>0.0</v>
      </c>
      <c r="U58" s="16">
        <v>-1.0</v>
      </c>
      <c r="V58" s="5" t="s">
        <v>96</v>
      </c>
    </row>
    <row r="59" ht="15.75" customHeight="1">
      <c r="A59" s="9" t="s">
        <v>108</v>
      </c>
      <c r="B59" s="16">
        <v>0.0</v>
      </c>
      <c r="C59" s="16">
        <v>0.0</v>
      </c>
      <c r="D59" s="16">
        <v>1.0</v>
      </c>
      <c r="E59" s="16">
        <v>1.0</v>
      </c>
      <c r="F59" s="16">
        <v>2.0</v>
      </c>
      <c r="G59" s="16">
        <v>0.0</v>
      </c>
      <c r="H59" s="16">
        <v>0.0</v>
      </c>
      <c r="I59" s="16">
        <v>0.0</v>
      </c>
      <c r="J59" s="16">
        <v>0.0</v>
      </c>
      <c r="K59" s="16">
        <v>0.0</v>
      </c>
      <c r="L59" s="16">
        <v>0.0</v>
      </c>
      <c r="M59" s="16">
        <v>0.0</v>
      </c>
      <c r="N59" s="16">
        <v>1.0</v>
      </c>
      <c r="O59" s="16">
        <v>0.0</v>
      </c>
      <c r="P59" s="16">
        <v>0.0</v>
      </c>
      <c r="Q59" s="16">
        <v>0.0</v>
      </c>
      <c r="R59" s="16">
        <v>0.5</v>
      </c>
      <c r="S59" s="16">
        <v>0.0</v>
      </c>
      <c r="T59" s="16">
        <v>0.0</v>
      </c>
      <c r="U59" s="16">
        <v>0.0</v>
      </c>
      <c r="V59" s="5" t="s">
        <v>96</v>
      </c>
    </row>
    <row r="60" ht="15.75" customHeight="1">
      <c r="A60" s="9" t="s">
        <v>109</v>
      </c>
      <c r="B60" s="16">
        <v>0.6</v>
      </c>
      <c r="C60" s="16">
        <v>0.9</v>
      </c>
      <c r="D60" s="16">
        <v>-0.6</v>
      </c>
      <c r="E60" s="16">
        <v>-0.2</v>
      </c>
      <c r="F60" s="16">
        <v>-0.2</v>
      </c>
      <c r="G60" s="16">
        <v>1.2</v>
      </c>
      <c r="H60" s="16">
        <v>0.2</v>
      </c>
      <c r="I60" s="16">
        <v>0.8</v>
      </c>
      <c r="J60" s="16">
        <v>0.6</v>
      </c>
      <c r="K60" s="16">
        <v>0.6</v>
      </c>
      <c r="L60" s="16">
        <v>0.0</v>
      </c>
      <c r="M60" s="16">
        <v>1.4</v>
      </c>
      <c r="N60" s="16">
        <v>0.0</v>
      </c>
      <c r="O60" s="16">
        <v>2.2</v>
      </c>
      <c r="P60" s="16">
        <v>0.6</v>
      </c>
      <c r="Q60" s="16">
        <v>0.0</v>
      </c>
      <c r="R60" s="16">
        <v>0.0</v>
      </c>
      <c r="S60" s="16">
        <v>-0.6</v>
      </c>
      <c r="T60" s="16">
        <v>1.2</v>
      </c>
      <c r="U60" s="16">
        <v>0.6</v>
      </c>
      <c r="V60" s="5" t="s">
        <v>96</v>
      </c>
    </row>
    <row r="61" ht="15.75" customHeight="1">
      <c r="A61" s="9" t="s">
        <v>110</v>
      </c>
      <c r="B61" s="16">
        <v>0.75</v>
      </c>
      <c r="C61" s="16">
        <v>1.0</v>
      </c>
      <c r="D61" s="16">
        <v>-0.25</v>
      </c>
      <c r="E61" s="16">
        <v>-0.25</v>
      </c>
      <c r="F61" s="16">
        <v>-1.75</v>
      </c>
      <c r="G61" s="16">
        <v>0.25</v>
      </c>
      <c r="H61" s="16">
        <v>0.0</v>
      </c>
      <c r="I61" s="16">
        <v>-0.25</v>
      </c>
      <c r="J61" s="16">
        <v>-0.75</v>
      </c>
      <c r="K61" s="16">
        <v>0.0</v>
      </c>
      <c r="L61" s="16">
        <v>-0.25</v>
      </c>
      <c r="M61" s="16">
        <v>-0.75</v>
      </c>
      <c r="N61" s="16">
        <v>-1.0</v>
      </c>
      <c r="O61" s="16">
        <v>0.25</v>
      </c>
      <c r="P61" s="16">
        <v>0.0</v>
      </c>
      <c r="Q61" s="16">
        <v>0.0</v>
      </c>
      <c r="R61" s="16">
        <v>0.0</v>
      </c>
      <c r="S61" s="16">
        <v>0.0</v>
      </c>
      <c r="T61" s="16">
        <v>0.0</v>
      </c>
      <c r="U61" s="16">
        <v>-0.75</v>
      </c>
      <c r="V61" s="5" t="s">
        <v>96</v>
      </c>
    </row>
    <row r="62" ht="15.75" customHeight="1">
      <c r="A62" s="9" t="s">
        <v>111</v>
      </c>
      <c r="B62" s="16">
        <v>0.0</v>
      </c>
      <c r="C62" s="16">
        <v>0.5</v>
      </c>
      <c r="D62" s="16">
        <v>0.5</v>
      </c>
      <c r="E62" s="16">
        <v>0.0</v>
      </c>
      <c r="F62" s="16">
        <v>1.0</v>
      </c>
      <c r="G62" s="16">
        <v>0.0</v>
      </c>
      <c r="H62" s="16">
        <v>0.0</v>
      </c>
      <c r="I62" s="16">
        <v>0.5</v>
      </c>
      <c r="J62" s="16">
        <v>1.0</v>
      </c>
      <c r="K62" s="16">
        <v>0.0</v>
      </c>
      <c r="L62" s="16">
        <v>0.0</v>
      </c>
      <c r="M62" s="16">
        <v>1.0</v>
      </c>
      <c r="N62" s="16">
        <v>0.5</v>
      </c>
      <c r="O62" s="16">
        <v>0.0</v>
      </c>
      <c r="P62" s="16">
        <v>0.5</v>
      </c>
      <c r="Q62" s="16">
        <v>0.0</v>
      </c>
      <c r="R62" s="16">
        <v>0.0</v>
      </c>
      <c r="S62" s="16">
        <v>0.5</v>
      </c>
      <c r="T62" s="16">
        <v>0.0</v>
      </c>
      <c r="U62" s="16">
        <v>0.5</v>
      </c>
      <c r="V62" s="5" t="s">
        <v>96</v>
      </c>
    </row>
    <row r="63" ht="15.75" customHeight="1">
      <c r="A63" s="9" t="s">
        <v>112</v>
      </c>
      <c r="B63" s="16">
        <v>0.6</v>
      </c>
      <c r="C63" s="16">
        <v>0.9</v>
      </c>
      <c r="D63" s="16">
        <v>-0.6</v>
      </c>
      <c r="E63" s="16">
        <v>-0.2</v>
      </c>
      <c r="F63" s="16">
        <v>-0.2</v>
      </c>
      <c r="G63" s="16">
        <v>1.2</v>
      </c>
      <c r="H63" s="16">
        <v>0.2</v>
      </c>
      <c r="I63" s="16">
        <v>0.8</v>
      </c>
      <c r="J63" s="16">
        <v>0.6</v>
      </c>
      <c r="K63" s="16">
        <v>0.6</v>
      </c>
      <c r="L63" s="16">
        <v>0.0</v>
      </c>
      <c r="M63" s="16">
        <v>1.4</v>
      </c>
      <c r="N63" s="16">
        <v>0.0</v>
      </c>
      <c r="O63" s="16">
        <v>2.2</v>
      </c>
      <c r="P63" s="16">
        <v>0.6</v>
      </c>
      <c r="Q63" s="16">
        <v>0.0</v>
      </c>
      <c r="R63" s="16">
        <v>0.0</v>
      </c>
      <c r="S63" s="16">
        <v>-0.6</v>
      </c>
      <c r="T63" s="16">
        <v>1.2</v>
      </c>
      <c r="U63" s="16">
        <v>0.6</v>
      </c>
      <c r="V63" s="5" t="s">
        <v>96</v>
      </c>
    </row>
    <row r="64" ht="15.75" customHeight="1">
      <c r="A64" s="9" t="s">
        <v>113</v>
      </c>
      <c r="B64" s="16">
        <v>0.6</v>
      </c>
      <c r="C64" s="16">
        <v>0.9</v>
      </c>
      <c r="D64" s="16">
        <v>-0.6</v>
      </c>
      <c r="E64" s="16">
        <v>-0.2</v>
      </c>
      <c r="F64" s="16">
        <v>-0.2</v>
      </c>
      <c r="G64" s="16">
        <v>1.2</v>
      </c>
      <c r="H64" s="16">
        <v>0.2</v>
      </c>
      <c r="I64" s="16">
        <v>0.8</v>
      </c>
      <c r="J64" s="16">
        <v>0.6</v>
      </c>
      <c r="K64" s="16">
        <v>0.6</v>
      </c>
      <c r="L64" s="16">
        <v>0.0</v>
      </c>
      <c r="M64" s="16">
        <v>1.4</v>
      </c>
      <c r="N64" s="16">
        <v>0.0</v>
      </c>
      <c r="O64" s="16">
        <v>2.2</v>
      </c>
      <c r="P64" s="16">
        <v>0.6</v>
      </c>
      <c r="Q64" s="16">
        <v>0.0</v>
      </c>
      <c r="R64" s="16">
        <v>0.0</v>
      </c>
      <c r="S64" s="16">
        <v>-0.6</v>
      </c>
      <c r="T64" s="16">
        <v>1.2</v>
      </c>
      <c r="U64" s="16">
        <v>0.6</v>
      </c>
      <c r="V64" s="5" t="s">
        <v>96</v>
      </c>
    </row>
    <row r="65" ht="15.75" customHeight="1">
      <c r="A65" s="5" t="s">
        <v>114</v>
      </c>
      <c r="B65" s="14">
        <v>1.35</v>
      </c>
      <c r="C65" s="14">
        <v>2.1</v>
      </c>
      <c r="D65" s="14">
        <v>0.0</v>
      </c>
      <c r="E65" s="14">
        <v>0.1</v>
      </c>
      <c r="F65" s="14">
        <v>-1.0</v>
      </c>
      <c r="G65" s="14">
        <v>0.1</v>
      </c>
      <c r="H65" s="14">
        <v>0.4</v>
      </c>
      <c r="I65" s="14">
        <v>0.5</v>
      </c>
      <c r="J65" s="14">
        <v>0.4</v>
      </c>
      <c r="K65" s="14">
        <v>0.4</v>
      </c>
      <c r="L65" s="14">
        <v>-1.0</v>
      </c>
      <c r="M65" s="14">
        <v>1.1</v>
      </c>
      <c r="N65" s="14">
        <v>-0.75</v>
      </c>
      <c r="O65" s="14">
        <v>2.2</v>
      </c>
      <c r="P65" s="14">
        <v>-1.4</v>
      </c>
      <c r="Q65" s="14">
        <v>0.9</v>
      </c>
      <c r="R65" s="14">
        <v>-0.05</v>
      </c>
      <c r="S65" s="14">
        <v>-0.7</v>
      </c>
      <c r="T65" s="14">
        <v>0.6</v>
      </c>
      <c r="U65" s="14">
        <v>0.2</v>
      </c>
      <c r="V65" s="5" t="s">
        <v>99</v>
      </c>
    </row>
    <row r="66" ht="15.75" customHeight="1">
      <c r="A66" s="9" t="s">
        <v>115</v>
      </c>
      <c r="B66" s="16">
        <v>0.6</v>
      </c>
      <c r="C66" s="16">
        <v>0.9</v>
      </c>
      <c r="D66" s="16">
        <v>-0.6</v>
      </c>
      <c r="E66" s="16">
        <v>-0.2</v>
      </c>
      <c r="F66" s="16">
        <v>-0.2</v>
      </c>
      <c r="G66" s="16">
        <v>1.2</v>
      </c>
      <c r="H66" s="16">
        <v>0.2</v>
      </c>
      <c r="I66" s="16">
        <v>0.8</v>
      </c>
      <c r="J66" s="16">
        <v>0.6</v>
      </c>
      <c r="K66" s="16">
        <v>0.6</v>
      </c>
      <c r="L66" s="16">
        <v>0.0</v>
      </c>
      <c r="M66" s="16">
        <v>1.4</v>
      </c>
      <c r="N66" s="16">
        <v>0.0</v>
      </c>
      <c r="O66" s="16">
        <v>2.2</v>
      </c>
      <c r="P66" s="16">
        <v>0.6</v>
      </c>
      <c r="Q66" s="16">
        <v>0.0</v>
      </c>
      <c r="R66" s="16">
        <v>0.0</v>
      </c>
      <c r="S66" s="16">
        <v>-0.6</v>
      </c>
      <c r="T66" s="16">
        <v>1.2</v>
      </c>
      <c r="U66" s="16">
        <v>0.6</v>
      </c>
      <c r="V66" s="5" t="s">
        <v>96</v>
      </c>
    </row>
    <row r="67" ht="15.75" customHeight="1">
      <c r="A67" s="9" t="s">
        <v>116</v>
      </c>
      <c r="B67" s="16">
        <v>0.0</v>
      </c>
      <c r="C67" s="16">
        <v>0.0</v>
      </c>
      <c r="D67" s="16">
        <v>-2.0</v>
      </c>
      <c r="E67" s="16">
        <v>-1.0</v>
      </c>
      <c r="F67" s="16">
        <v>-2.0</v>
      </c>
      <c r="G67" s="16">
        <v>4.0</v>
      </c>
      <c r="H67" s="16">
        <v>1.5</v>
      </c>
      <c r="I67" s="16">
        <v>-2.0</v>
      </c>
      <c r="J67" s="16">
        <v>-2.0</v>
      </c>
      <c r="K67" s="16">
        <v>0.0</v>
      </c>
      <c r="L67" s="16">
        <v>-2.0</v>
      </c>
      <c r="M67" s="16">
        <v>-9.0</v>
      </c>
      <c r="N67" s="16">
        <v>-2.0</v>
      </c>
      <c r="O67" s="16">
        <v>2.5</v>
      </c>
      <c r="P67" s="16">
        <v>1.5</v>
      </c>
      <c r="Q67" s="16">
        <v>0.0</v>
      </c>
      <c r="R67" s="16">
        <v>0.0</v>
      </c>
      <c r="S67" s="16">
        <v>-3.0</v>
      </c>
      <c r="T67" s="16">
        <v>-0.5</v>
      </c>
      <c r="U67" s="16">
        <v>-1.5</v>
      </c>
      <c r="V67" s="5" t="s">
        <v>96</v>
      </c>
    </row>
    <row r="68" ht="15.75" customHeight="1">
      <c r="A68" s="9" t="s">
        <v>117</v>
      </c>
      <c r="B68" s="16">
        <v>0.5</v>
      </c>
      <c r="C68" s="16">
        <v>0.25</v>
      </c>
      <c r="D68" s="16">
        <v>1.5</v>
      </c>
      <c r="E68" s="16">
        <v>0.25</v>
      </c>
      <c r="F68" s="16">
        <v>0.25</v>
      </c>
      <c r="G68" s="16">
        <v>0.0</v>
      </c>
      <c r="H68" s="16">
        <v>1.5</v>
      </c>
      <c r="I68" s="16">
        <v>0.5</v>
      </c>
      <c r="J68" s="16">
        <v>0.0</v>
      </c>
      <c r="K68" s="16">
        <v>0.25</v>
      </c>
      <c r="L68" s="16">
        <v>0.25</v>
      </c>
      <c r="M68" s="16">
        <v>1.0</v>
      </c>
      <c r="N68" s="16">
        <v>0.25</v>
      </c>
      <c r="O68" s="16">
        <v>0.25</v>
      </c>
      <c r="P68" s="16">
        <v>0.0</v>
      </c>
      <c r="Q68" s="16">
        <v>1.5</v>
      </c>
      <c r="R68" s="16">
        <v>0.75</v>
      </c>
      <c r="S68" s="16">
        <v>2.5</v>
      </c>
      <c r="T68" s="16">
        <v>0.0</v>
      </c>
      <c r="U68" s="16">
        <v>0.5</v>
      </c>
      <c r="V68" s="5" t="s">
        <v>96</v>
      </c>
    </row>
    <row r="69" ht="15.75" customHeight="1">
      <c r="A69" s="5" t="s">
        <v>118</v>
      </c>
      <c r="B69" s="14">
        <v>0.0</v>
      </c>
      <c r="C69" s="14">
        <v>0.0</v>
      </c>
      <c r="D69" s="14">
        <v>0.0</v>
      </c>
      <c r="E69" s="14">
        <v>0.0</v>
      </c>
      <c r="F69" s="14">
        <v>0.0</v>
      </c>
      <c r="G69" s="14">
        <v>0.0</v>
      </c>
      <c r="H69" s="14">
        <v>0.0</v>
      </c>
      <c r="I69" s="14">
        <v>0.0</v>
      </c>
      <c r="J69" s="14">
        <v>0.0</v>
      </c>
      <c r="K69" s="14">
        <v>0.0</v>
      </c>
      <c r="L69" s="14">
        <v>0.0</v>
      </c>
      <c r="M69" s="14">
        <v>0.0</v>
      </c>
      <c r="N69" s="14">
        <v>0.0</v>
      </c>
      <c r="O69" s="14">
        <v>0.0</v>
      </c>
      <c r="P69" s="14">
        <v>0.0</v>
      </c>
      <c r="Q69" s="14">
        <v>0.0</v>
      </c>
      <c r="R69" s="14">
        <v>0.0</v>
      </c>
      <c r="S69" s="14">
        <v>0.0</v>
      </c>
      <c r="T69" s="14">
        <v>0.0</v>
      </c>
      <c r="U69" s="14">
        <v>0.0</v>
      </c>
      <c r="V69" s="5" t="s">
        <v>99</v>
      </c>
    </row>
    <row r="70" ht="15.75" customHeight="1">
      <c r="A70" s="5" t="s">
        <v>119</v>
      </c>
      <c r="B70" s="14">
        <v>0.0</v>
      </c>
      <c r="C70" s="14">
        <v>0.45</v>
      </c>
      <c r="D70" s="14">
        <v>-0.45</v>
      </c>
      <c r="E70" s="14">
        <v>0.0</v>
      </c>
      <c r="F70" s="14">
        <v>-0.45</v>
      </c>
      <c r="G70" s="14">
        <v>0.0</v>
      </c>
      <c r="H70" s="14">
        <v>0.0</v>
      </c>
      <c r="I70" s="14">
        <v>-0.45</v>
      </c>
      <c r="J70" s="14">
        <v>-0.45</v>
      </c>
      <c r="K70" s="14">
        <v>0.0</v>
      </c>
      <c r="L70" s="14">
        <v>-0.9</v>
      </c>
      <c r="M70" s="14">
        <v>0.0</v>
      </c>
      <c r="N70" s="14">
        <v>0.0</v>
      </c>
      <c r="O70" s="14">
        <v>0.0</v>
      </c>
      <c r="P70" s="14">
        <v>0.0</v>
      </c>
      <c r="Q70" s="14">
        <v>0.0</v>
      </c>
      <c r="R70" s="14">
        <v>-0.225</v>
      </c>
      <c r="S70" s="14">
        <v>0.0</v>
      </c>
      <c r="T70" s="14">
        <v>0.0</v>
      </c>
      <c r="U70" s="14">
        <v>-0.45</v>
      </c>
      <c r="V70" s="5" t="s">
        <v>99</v>
      </c>
    </row>
    <row r="71" ht="15.75" customHeight="1">
      <c r="A71" s="5" t="s">
        <v>120</v>
      </c>
      <c r="B71" s="14">
        <v>0.0</v>
      </c>
      <c r="C71" s="14">
        <v>0.0</v>
      </c>
      <c r="D71" s="14">
        <v>0.0</v>
      </c>
      <c r="E71" s="14">
        <v>0.0</v>
      </c>
      <c r="F71" s="14">
        <v>0.0</v>
      </c>
      <c r="G71" s="14">
        <v>0.0</v>
      </c>
      <c r="H71" s="14">
        <v>0.0</v>
      </c>
      <c r="I71" s="14">
        <v>0.0</v>
      </c>
      <c r="J71" s="14">
        <v>0.0</v>
      </c>
      <c r="K71" s="14">
        <v>0.0</v>
      </c>
      <c r="L71" s="14">
        <v>0.0</v>
      </c>
      <c r="M71" s="14">
        <v>0.0</v>
      </c>
      <c r="N71" s="14">
        <v>0.0</v>
      </c>
      <c r="O71" s="14">
        <v>0.0</v>
      </c>
      <c r="P71" s="14">
        <v>0.0</v>
      </c>
      <c r="Q71" s="14">
        <v>0.0</v>
      </c>
      <c r="R71" s="14">
        <v>0.0</v>
      </c>
      <c r="S71" s="14">
        <v>0.0</v>
      </c>
      <c r="T71" s="14">
        <v>0.0</v>
      </c>
      <c r="U71" s="14">
        <v>0.0</v>
      </c>
      <c r="V71" s="5" t="s">
        <v>99</v>
      </c>
    </row>
    <row r="72" ht="15.75" customHeight="1">
      <c r="A72" s="5" t="s">
        <v>121</v>
      </c>
      <c r="B72" s="14">
        <v>0.0</v>
      </c>
      <c r="C72" s="14">
        <v>0.0</v>
      </c>
      <c r="D72" s="14">
        <v>0.0</v>
      </c>
      <c r="E72" s="14">
        <v>0.0</v>
      </c>
      <c r="F72" s="14">
        <v>0.0</v>
      </c>
      <c r="G72" s="14">
        <v>0.0</v>
      </c>
      <c r="H72" s="14">
        <v>0.0</v>
      </c>
      <c r="I72" s="14">
        <v>0.0</v>
      </c>
      <c r="J72" s="14">
        <v>0.0</v>
      </c>
      <c r="K72" s="14">
        <v>0.0</v>
      </c>
      <c r="L72" s="14">
        <v>0.0</v>
      </c>
      <c r="M72" s="14">
        <v>0.0</v>
      </c>
      <c r="N72" s="14">
        <v>0.0</v>
      </c>
      <c r="O72" s="14">
        <v>0.0</v>
      </c>
      <c r="P72" s="14">
        <v>0.0</v>
      </c>
      <c r="Q72" s="14">
        <v>0.0</v>
      </c>
      <c r="R72" s="14">
        <v>0.0</v>
      </c>
      <c r="S72" s="14">
        <v>0.0</v>
      </c>
      <c r="T72" s="14">
        <v>0.0</v>
      </c>
      <c r="U72" s="14">
        <v>0.0</v>
      </c>
      <c r="V72" s="5" t="s">
        <v>99</v>
      </c>
    </row>
    <row r="73" ht="15.75" customHeight="1">
      <c r="A73" s="9" t="s">
        <v>122</v>
      </c>
      <c r="B73" s="16">
        <v>0.0</v>
      </c>
      <c r="C73" s="16">
        <v>0.0</v>
      </c>
      <c r="D73" s="16">
        <v>0.0</v>
      </c>
      <c r="E73" s="16">
        <v>0.0</v>
      </c>
      <c r="F73" s="16">
        <v>0.0</v>
      </c>
      <c r="G73" s="16">
        <v>0.0</v>
      </c>
      <c r="H73" s="16">
        <v>0.0</v>
      </c>
      <c r="I73" s="16">
        <v>0.0</v>
      </c>
      <c r="J73" s="16">
        <v>0.0</v>
      </c>
      <c r="K73" s="16">
        <v>0.0</v>
      </c>
      <c r="L73" s="16">
        <v>0.0</v>
      </c>
      <c r="M73" s="16">
        <v>0.0</v>
      </c>
      <c r="N73" s="16">
        <v>0.0</v>
      </c>
      <c r="O73" s="16">
        <v>0.0</v>
      </c>
      <c r="P73" s="16">
        <v>0.0</v>
      </c>
      <c r="Q73" s="16">
        <v>0.0</v>
      </c>
      <c r="R73" s="16">
        <v>0.0</v>
      </c>
      <c r="S73" s="16">
        <v>0.0</v>
      </c>
      <c r="T73" s="16">
        <v>0.0</v>
      </c>
      <c r="U73" s="16">
        <v>0.0</v>
      </c>
      <c r="V73" s="5" t="s">
        <v>96</v>
      </c>
    </row>
    <row r="74" ht="15.75" customHeight="1">
      <c r="A74" s="5" t="s">
        <v>123</v>
      </c>
      <c r="B74" s="14">
        <v>0.0</v>
      </c>
      <c r="C74" s="14">
        <v>0.0</v>
      </c>
      <c r="D74" s="14">
        <v>0.4</v>
      </c>
      <c r="E74" s="14">
        <v>0.4</v>
      </c>
      <c r="F74" s="14">
        <v>0.8</v>
      </c>
      <c r="G74" s="14">
        <v>0.0</v>
      </c>
      <c r="H74" s="14">
        <v>0.0</v>
      </c>
      <c r="I74" s="14">
        <v>0.0</v>
      </c>
      <c r="J74" s="14">
        <v>0.0</v>
      </c>
      <c r="K74" s="14">
        <v>0.0</v>
      </c>
      <c r="L74" s="14">
        <v>0.0</v>
      </c>
      <c r="M74" s="14">
        <v>0.0</v>
      </c>
      <c r="N74" s="14">
        <v>0.4</v>
      </c>
      <c r="O74" s="14">
        <v>0.0</v>
      </c>
      <c r="P74" s="14">
        <v>0.0</v>
      </c>
      <c r="Q74" s="14">
        <v>0.0</v>
      </c>
      <c r="R74" s="14">
        <v>0.2</v>
      </c>
      <c r="S74" s="14">
        <v>0.0</v>
      </c>
      <c r="T74" s="14">
        <v>0.0</v>
      </c>
      <c r="U74" s="14">
        <v>0.0</v>
      </c>
      <c r="V74" s="5" t="s">
        <v>99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2.0"/>
    <col customWidth="1" min="2" max="8" width="11.0"/>
    <col customWidth="1" min="9" max="26" width="8.71"/>
  </cols>
  <sheetData>
    <row r="1">
      <c r="A1" s="4" t="s">
        <v>134</v>
      </c>
      <c r="B1" s="4" t="s">
        <v>135</v>
      </c>
      <c r="C1" s="4" t="s">
        <v>128</v>
      </c>
      <c r="D1" s="4" t="s">
        <v>129</v>
      </c>
      <c r="E1" s="4" t="s">
        <v>130</v>
      </c>
      <c r="F1" s="4" t="s">
        <v>131</v>
      </c>
      <c r="G1" s="4" t="s">
        <v>132</v>
      </c>
      <c r="H1" s="4" t="s">
        <v>133</v>
      </c>
    </row>
    <row r="2">
      <c r="A2" s="5" t="s">
        <v>26</v>
      </c>
      <c r="B2" s="17">
        <v>3.0</v>
      </c>
      <c r="C2" s="17">
        <v>6.0</v>
      </c>
      <c r="D2" s="17">
        <v>0.8</v>
      </c>
      <c r="E2" s="17">
        <v>2.0</v>
      </c>
      <c r="F2" s="17">
        <v>1.8</v>
      </c>
      <c r="G2" s="17">
        <v>0.8</v>
      </c>
      <c r="H2" s="17">
        <v>2.0</v>
      </c>
    </row>
    <row r="3">
      <c r="A3" s="5" t="s">
        <v>27</v>
      </c>
      <c r="B3" s="17">
        <v>3.5</v>
      </c>
      <c r="C3" s="17">
        <v>6.5</v>
      </c>
      <c r="D3" s="17">
        <v>1.5</v>
      </c>
      <c r="E3" s="17">
        <v>2.5</v>
      </c>
      <c r="F3" s="17">
        <v>1.0</v>
      </c>
      <c r="G3" s="17">
        <v>-0.5</v>
      </c>
      <c r="H3" s="17">
        <v>2.0</v>
      </c>
    </row>
    <row r="4">
      <c r="A4" s="5" t="s">
        <v>28</v>
      </c>
      <c r="B4" s="17">
        <v>4.5</v>
      </c>
      <c r="C4" s="17">
        <v>2.5</v>
      </c>
      <c r="D4" s="17">
        <v>-1.0</v>
      </c>
      <c r="E4" s="17">
        <v>3.0</v>
      </c>
      <c r="F4" s="17">
        <v>2.5</v>
      </c>
      <c r="G4" s="17">
        <v>2.0</v>
      </c>
      <c r="H4" s="17">
        <v>0.0</v>
      </c>
    </row>
    <row r="5">
      <c r="A5" s="5" t="s">
        <v>29</v>
      </c>
      <c r="B5" s="17">
        <v>3.0</v>
      </c>
      <c r="C5" s="17">
        <v>4.0</v>
      </c>
      <c r="D5" s="17">
        <v>-0.5</v>
      </c>
      <c r="E5" s="17">
        <v>2.0</v>
      </c>
      <c r="F5" s="17">
        <v>2.5</v>
      </c>
      <c r="G5" s="17">
        <v>2.5</v>
      </c>
      <c r="H5" s="17">
        <v>1.0</v>
      </c>
    </row>
    <row r="6">
      <c r="A6" s="5" t="s">
        <v>30</v>
      </c>
      <c r="B6" s="17">
        <v>2.5</v>
      </c>
      <c r="C6" s="17">
        <v>-1.5</v>
      </c>
      <c r="D6" s="17">
        <v>-3.0</v>
      </c>
      <c r="E6" s="17">
        <v>-1.5</v>
      </c>
      <c r="F6" s="17">
        <v>3.0</v>
      </c>
      <c r="G6" s="17">
        <v>3.0</v>
      </c>
      <c r="H6" s="17">
        <v>-1.0</v>
      </c>
    </row>
    <row r="7">
      <c r="A7" s="5" t="s">
        <v>31</v>
      </c>
      <c r="B7" s="17">
        <v>3.0</v>
      </c>
      <c r="C7" s="17">
        <v>7.5</v>
      </c>
      <c r="D7" s="17">
        <v>-1.0</v>
      </c>
      <c r="E7" s="17">
        <v>-2.0</v>
      </c>
      <c r="F7" s="17">
        <v>2.5</v>
      </c>
      <c r="G7" s="17">
        <v>-1.5</v>
      </c>
      <c r="H7" s="17">
        <v>4.0</v>
      </c>
    </row>
    <row r="8">
      <c r="A8" s="5" t="s">
        <v>32</v>
      </c>
      <c r="B8" s="17">
        <v>3.5</v>
      </c>
      <c r="C8" s="17">
        <v>5.0</v>
      </c>
      <c r="D8" s="17">
        <v>0.0</v>
      </c>
      <c r="E8" s="17">
        <v>0.5</v>
      </c>
      <c r="F8" s="17">
        <v>2.0</v>
      </c>
      <c r="G8" s="17">
        <v>0.0</v>
      </c>
      <c r="H8" s="17">
        <v>2.0</v>
      </c>
    </row>
    <row r="9">
      <c r="A9" s="5" t="s">
        <v>33</v>
      </c>
      <c r="B9" s="17">
        <v>3.5</v>
      </c>
      <c r="C9" s="17">
        <v>2.0</v>
      </c>
      <c r="D9" s="17">
        <v>-1.5</v>
      </c>
      <c r="E9" s="17">
        <v>1.5</v>
      </c>
      <c r="F9" s="17">
        <v>2.5</v>
      </c>
      <c r="G9" s="17">
        <v>2.0</v>
      </c>
      <c r="H9" s="17">
        <v>0.5</v>
      </c>
    </row>
    <row r="10">
      <c r="A10" s="5" t="s">
        <v>34</v>
      </c>
      <c r="B10" s="17">
        <v>2.5</v>
      </c>
      <c r="C10" s="17">
        <v>-4.0</v>
      </c>
      <c r="D10" s="17">
        <v>-2.5</v>
      </c>
      <c r="E10" s="17">
        <v>0.5</v>
      </c>
      <c r="F10" s="17">
        <v>3.5</v>
      </c>
      <c r="G10" s="17">
        <v>3.0</v>
      </c>
      <c r="H10" s="17">
        <v>-1.5</v>
      </c>
    </row>
    <row r="11">
      <c r="A11" s="5" t="s">
        <v>35</v>
      </c>
      <c r="B11" s="17">
        <v>3.5</v>
      </c>
      <c r="C11" s="17">
        <v>3.5</v>
      </c>
      <c r="D11" s="17">
        <v>-1.0</v>
      </c>
      <c r="E11" s="17">
        <v>1.0</v>
      </c>
      <c r="F11" s="17">
        <v>1.5</v>
      </c>
      <c r="G11" s="17">
        <v>0.5</v>
      </c>
      <c r="H11" s="17">
        <v>1.0</v>
      </c>
    </row>
    <row r="12">
      <c r="A12" s="5" t="s">
        <v>36</v>
      </c>
      <c r="B12" s="17">
        <v>2.5</v>
      </c>
      <c r="C12" s="17">
        <v>0.0</v>
      </c>
      <c r="D12" s="17">
        <v>-2.0</v>
      </c>
      <c r="E12" s="17">
        <v>0.5</v>
      </c>
      <c r="F12" s="17">
        <v>2.5</v>
      </c>
      <c r="G12" s="17">
        <v>2.5</v>
      </c>
      <c r="H12" s="17">
        <v>-0.5</v>
      </c>
    </row>
    <row r="13">
      <c r="A13" s="5" t="s">
        <v>37</v>
      </c>
      <c r="B13" s="17">
        <v>2.0</v>
      </c>
      <c r="C13" s="17">
        <v>-5.5</v>
      </c>
      <c r="D13" s="17">
        <v>-3.0</v>
      </c>
      <c r="E13" s="17">
        <v>1.5</v>
      </c>
      <c r="F13" s="17">
        <v>3.5</v>
      </c>
      <c r="G13" s="17">
        <v>3.0</v>
      </c>
      <c r="H13" s="17">
        <v>-2.0</v>
      </c>
    </row>
    <row r="14">
      <c r="A14" s="5" t="s">
        <v>38</v>
      </c>
      <c r="B14" s="17">
        <v>2.5</v>
      </c>
      <c r="C14" s="17">
        <v>-2.0</v>
      </c>
      <c r="D14" s="17">
        <v>-2.0</v>
      </c>
      <c r="E14" s="17">
        <v>-0.5</v>
      </c>
      <c r="F14" s="17">
        <v>3.0</v>
      </c>
      <c r="G14" s="17">
        <v>2.5</v>
      </c>
      <c r="H14" s="17">
        <v>-1.0</v>
      </c>
    </row>
    <row r="15">
      <c r="A15" s="5" t="s">
        <v>39</v>
      </c>
      <c r="B15" s="17">
        <v>3.0</v>
      </c>
      <c r="C15" s="17">
        <v>6.0</v>
      </c>
      <c r="D15" s="17">
        <v>1.0</v>
      </c>
      <c r="E15" s="17">
        <v>1.5</v>
      </c>
      <c r="F15" s="17">
        <v>1.5</v>
      </c>
      <c r="G15" s="17">
        <v>0.0</v>
      </c>
      <c r="H15" s="17">
        <v>2.5</v>
      </c>
    </row>
    <row r="16">
      <c r="A16" s="5" t="s">
        <v>40</v>
      </c>
      <c r="B16" s="17">
        <v>2.0</v>
      </c>
      <c r="C16" s="17">
        <v>3.5</v>
      </c>
      <c r="D16" s="17">
        <v>-1.5</v>
      </c>
      <c r="E16" s="17">
        <v>-1.0</v>
      </c>
      <c r="F16" s="17">
        <v>2.5</v>
      </c>
      <c r="G16" s="17">
        <v>1.5</v>
      </c>
      <c r="H16" s="17">
        <v>3.0</v>
      </c>
    </row>
    <row r="17">
      <c r="A17" s="5" t="s">
        <v>41</v>
      </c>
      <c r="B17" s="17">
        <v>3.0</v>
      </c>
      <c r="C17" s="17">
        <v>4.5</v>
      </c>
      <c r="D17" s="17">
        <v>0.0</v>
      </c>
      <c r="E17" s="17">
        <v>1.0</v>
      </c>
      <c r="F17" s="17">
        <v>1.5</v>
      </c>
      <c r="G17" s="17">
        <v>0.5</v>
      </c>
      <c r="H17" s="17">
        <v>1.5</v>
      </c>
    </row>
    <row r="18">
      <c r="A18" s="5" t="s">
        <v>42</v>
      </c>
      <c r="B18" s="17">
        <v>3.0</v>
      </c>
      <c r="C18" s="17">
        <v>2.5</v>
      </c>
      <c r="D18" s="17">
        <v>-1.0</v>
      </c>
      <c r="E18" s="17">
        <v>1.0</v>
      </c>
      <c r="F18" s="17">
        <v>2.5</v>
      </c>
      <c r="G18" s="17">
        <v>2.0</v>
      </c>
      <c r="H18" s="17">
        <v>0.5</v>
      </c>
    </row>
    <row r="19">
      <c r="A19" s="5" t="s">
        <v>43</v>
      </c>
      <c r="B19" s="17">
        <v>4.0</v>
      </c>
      <c r="C19" s="17">
        <v>-1.0</v>
      </c>
      <c r="D19" s="17">
        <v>-2.0</v>
      </c>
      <c r="E19" s="17">
        <v>3.5</v>
      </c>
      <c r="F19" s="17">
        <v>2.0</v>
      </c>
      <c r="G19" s="17">
        <v>2.0</v>
      </c>
      <c r="H19" s="17">
        <v>-0.5</v>
      </c>
    </row>
    <row r="20">
      <c r="A20" s="5" t="s">
        <v>44</v>
      </c>
      <c r="B20" s="17">
        <v>3.5</v>
      </c>
      <c r="C20" s="17">
        <v>1.0</v>
      </c>
      <c r="D20" s="17">
        <v>-1.0</v>
      </c>
      <c r="E20" s="17">
        <v>0.5</v>
      </c>
      <c r="F20" s="17">
        <v>2.0</v>
      </c>
      <c r="G20" s="17">
        <v>1.5</v>
      </c>
      <c r="H20" s="17">
        <v>0.5</v>
      </c>
    </row>
    <row r="21" ht="15.75" customHeight="1">
      <c r="A21" s="5" t="s">
        <v>45</v>
      </c>
      <c r="B21" s="17">
        <v>4.5</v>
      </c>
      <c r="C21" s="17">
        <v>0.5</v>
      </c>
      <c r="D21" s="17">
        <v>-1.5</v>
      </c>
      <c r="E21" s="17">
        <v>2.0</v>
      </c>
      <c r="F21" s="17">
        <v>2.5</v>
      </c>
      <c r="G21" s="17">
        <v>2.5</v>
      </c>
      <c r="H21" s="17">
        <v>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2.0"/>
    <col customWidth="1" min="2" max="4" width="11.0"/>
    <col customWidth="1" min="5" max="5" width="42.0"/>
    <col customWidth="1" min="6" max="6" width="60.0"/>
    <col customWidth="1" min="7" max="7" width="11.0"/>
    <col customWidth="1" min="8" max="26" width="8.71"/>
  </cols>
  <sheetData>
    <row r="1">
      <c r="A1" s="4" t="s">
        <v>134</v>
      </c>
      <c r="B1" s="4" t="s">
        <v>136</v>
      </c>
      <c r="C1" s="4" t="s">
        <v>137</v>
      </c>
      <c r="D1" s="4" t="s">
        <v>138</v>
      </c>
      <c r="E1" s="4" t="s">
        <v>139</v>
      </c>
      <c r="F1" s="4" t="s">
        <v>140</v>
      </c>
      <c r="G1" s="4" t="s">
        <v>141</v>
      </c>
    </row>
    <row r="2">
      <c r="A2" s="5" t="s">
        <v>26</v>
      </c>
      <c r="B2" s="18">
        <v>17.0</v>
      </c>
      <c r="C2" s="18">
        <v>0.166666666666667</v>
      </c>
      <c r="D2" s="18">
        <v>2.0</v>
      </c>
      <c r="E2" s="5" t="s">
        <v>26</v>
      </c>
      <c r="F2" s="5" t="s">
        <v>142</v>
      </c>
      <c r="G2" s="18">
        <v>16.667</v>
      </c>
    </row>
    <row r="3">
      <c r="A3" s="5" t="s">
        <v>27</v>
      </c>
      <c r="B3" s="18">
        <v>10.0</v>
      </c>
      <c r="C3" s="18">
        <v>0.0980392156862745</v>
      </c>
      <c r="D3" s="18">
        <v>2.0</v>
      </c>
      <c r="E3" s="5" t="s">
        <v>27</v>
      </c>
      <c r="F3" s="5" t="s">
        <v>143</v>
      </c>
      <c r="G3" s="18">
        <v>9.804</v>
      </c>
    </row>
    <row r="4">
      <c r="A4" s="5" t="s">
        <v>28</v>
      </c>
      <c r="B4" s="18">
        <v>7.0</v>
      </c>
      <c r="C4" s="18">
        <v>0.0686274509803922</v>
      </c>
      <c r="D4" s="18">
        <v>4.0</v>
      </c>
      <c r="E4" s="5" t="s">
        <v>28</v>
      </c>
      <c r="F4" s="5" t="s">
        <v>144</v>
      </c>
      <c r="G4" s="18">
        <v>6.863</v>
      </c>
    </row>
    <row r="5">
      <c r="A5" s="5" t="s">
        <v>29</v>
      </c>
      <c r="B5" s="18">
        <v>4.0</v>
      </c>
      <c r="C5" s="18">
        <v>0.0392156862745098</v>
      </c>
      <c r="D5" s="18">
        <v>4.0</v>
      </c>
      <c r="E5" s="5" t="s">
        <v>145</v>
      </c>
      <c r="F5" s="5" t="s">
        <v>146</v>
      </c>
      <c r="G5" s="18">
        <v>3.922</v>
      </c>
    </row>
    <row r="6">
      <c r="A6" s="5" t="s">
        <v>30</v>
      </c>
      <c r="B6" s="18">
        <v>3.0</v>
      </c>
      <c r="C6" s="18">
        <v>0.0294117647058824</v>
      </c>
      <c r="D6" s="18">
        <v>4.0</v>
      </c>
      <c r="E6" s="5" t="s">
        <v>145</v>
      </c>
      <c r="F6" s="5" t="s">
        <v>147</v>
      </c>
      <c r="G6" s="18">
        <v>2.941</v>
      </c>
    </row>
    <row r="7">
      <c r="A7" s="5" t="s">
        <v>31</v>
      </c>
      <c r="B7" s="18">
        <v>5.0</v>
      </c>
      <c r="C7" s="18">
        <v>0.0490196078431373</v>
      </c>
      <c r="D7" s="18">
        <v>3.0</v>
      </c>
      <c r="E7" s="5" t="s">
        <v>148</v>
      </c>
      <c r="F7" s="5" t="s">
        <v>149</v>
      </c>
      <c r="G7" s="18">
        <v>4.902</v>
      </c>
    </row>
    <row r="8">
      <c r="A8" s="5" t="s">
        <v>32</v>
      </c>
      <c r="B8" s="18">
        <v>3.0</v>
      </c>
      <c r="C8" s="18">
        <v>0.0294117647058824</v>
      </c>
      <c r="D8" s="18">
        <v>3.0</v>
      </c>
      <c r="E8" s="5" t="s">
        <v>148</v>
      </c>
      <c r="F8" s="5" t="s">
        <v>150</v>
      </c>
      <c r="G8" s="18">
        <v>2.941</v>
      </c>
    </row>
    <row r="9">
      <c r="A9" s="5" t="s">
        <v>33</v>
      </c>
      <c r="B9" s="18">
        <v>4.0</v>
      </c>
      <c r="C9" s="18">
        <v>0.0392156862745098</v>
      </c>
      <c r="D9" s="18">
        <v>4.0</v>
      </c>
      <c r="E9" s="5" t="s">
        <v>151</v>
      </c>
      <c r="F9" s="5" t="s">
        <v>152</v>
      </c>
      <c r="G9" s="18">
        <v>3.922</v>
      </c>
    </row>
    <row r="10">
      <c r="A10" s="5" t="s">
        <v>34</v>
      </c>
      <c r="B10" s="18">
        <v>4.0</v>
      </c>
      <c r="C10" s="18">
        <v>0.0392156862745098</v>
      </c>
      <c r="D10" s="18">
        <v>5.0</v>
      </c>
      <c r="E10" s="5" t="s">
        <v>151</v>
      </c>
      <c r="F10" s="5" t="s">
        <v>153</v>
      </c>
      <c r="G10" s="18">
        <v>3.922</v>
      </c>
    </row>
    <row r="11">
      <c r="A11" s="5" t="s">
        <v>35</v>
      </c>
      <c r="B11" s="18">
        <v>6.0</v>
      </c>
      <c r="C11" s="18">
        <v>0.0588235294117647</v>
      </c>
      <c r="D11" s="18">
        <v>3.0</v>
      </c>
      <c r="E11" s="5" t="s">
        <v>35</v>
      </c>
      <c r="F11" s="5" t="s">
        <v>154</v>
      </c>
      <c r="G11" s="18">
        <v>5.882</v>
      </c>
    </row>
    <row r="12">
      <c r="A12" s="5" t="s">
        <v>36</v>
      </c>
      <c r="B12" s="18">
        <v>4.0</v>
      </c>
      <c r="C12" s="18">
        <v>0.0392156862745098</v>
      </c>
      <c r="D12" s="18">
        <v>4.0</v>
      </c>
      <c r="E12" s="5" t="s">
        <v>36</v>
      </c>
      <c r="F12" s="5" t="s">
        <v>155</v>
      </c>
      <c r="G12" s="18">
        <v>3.922</v>
      </c>
    </row>
    <row r="13">
      <c r="A13" s="5" t="s">
        <v>37</v>
      </c>
      <c r="B13" s="18">
        <v>4.0</v>
      </c>
      <c r="C13" s="18">
        <v>0.0392156862745098</v>
      </c>
      <c r="D13" s="18">
        <v>5.0</v>
      </c>
      <c r="E13" s="5" t="s">
        <v>37</v>
      </c>
      <c r="F13" s="5" t="s">
        <v>156</v>
      </c>
      <c r="G13" s="18">
        <v>3.922</v>
      </c>
    </row>
    <row r="14">
      <c r="A14" s="5" t="s">
        <v>38</v>
      </c>
      <c r="B14" s="18">
        <v>3.0</v>
      </c>
      <c r="C14" s="18">
        <v>0.0294117647058824</v>
      </c>
      <c r="D14" s="18">
        <v>4.0</v>
      </c>
      <c r="E14" s="5" t="s">
        <v>38</v>
      </c>
      <c r="F14" s="5" t="s">
        <v>157</v>
      </c>
      <c r="G14" s="18">
        <v>2.941</v>
      </c>
    </row>
    <row r="15">
      <c r="A15" s="5" t="s">
        <v>39</v>
      </c>
      <c r="B15" s="18">
        <v>5.0</v>
      </c>
      <c r="C15" s="18">
        <v>0.0490196078431373</v>
      </c>
      <c r="D15" s="18">
        <v>3.0</v>
      </c>
      <c r="E15" s="5" t="s">
        <v>39</v>
      </c>
      <c r="F15" s="5" t="s">
        <v>158</v>
      </c>
      <c r="G15" s="18">
        <v>4.902</v>
      </c>
    </row>
    <row r="16">
      <c r="A16" s="5" t="s">
        <v>40</v>
      </c>
      <c r="B16" s="18">
        <v>3.0</v>
      </c>
      <c r="C16" s="18">
        <v>0.0294117647058824</v>
      </c>
      <c r="D16" s="18">
        <v>4.0</v>
      </c>
      <c r="E16" s="5" t="s">
        <v>40</v>
      </c>
      <c r="F16" s="5" t="s">
        <v>159</v>
      </c>
      <c r="G16" s="18">
        <v>2.941</v>
      </c>
    </row>
    <row r="17">
      <c r="A17" s="5" t="s">
        <v>41</v>
      </c>
      <c r="B17" s="18">
        <v>1.5</v>
      </c>
      <c r="C17" s="18">
        <v>0.0147058823529412</v>
      </c>
      <c r="D17" s="18">
        <v>3.0</v>
      </c>
      <c r="E17" s="5" t="s">
        <v>160</v>
      </c>
      <c r="F17" s="5" t="s">
        <v>161</v>
      </c>
      <c r="G17" s="18">
        <v>1.471</v>
      </c>
    </row>
    <row r="18">
      <c r="A18" s="5" t="s">
        <v>42</v>
      </c>
      <c r="B18" s="18">
        <v>1.5</v>
      </c>
      <c r="C18" s="18">
        <v>0.0147058823529412</v>
      </c>
      <c r="D18" s="18">
        <v>4.0</v>
      </c>
      <c r="E18" s="5" t="s">
        <v>160</v>
      </c>
      <c r="F18" s="5" t="s">
        <v>162</v>
      </c>
      <c r="G18" s="18">
        <v>1.471</v>
      </c>
    </row>
    <row r="19">
      <c r="A19" s="5" t="s">
        <v>43</v>
      </c>
      <c r="B19" s="18">
        <v>6.0</v>
      </c>
      <c r="C19" s="18">
        <v>0.0588235294117647</v>
      </c>
      <c r="D19" s="18">
        <v>5.0</v>
      </c>
      <c r="E19" s="5" t="s">
        <v>43</v>
      </c>
      <c r="F19" s="5" t="s">
        <v>163</v>
      </c>
      <c r="G19" s="18">
        <v>5.882</v>
      </c>
    </row>
    <row r="20">
      <c r="A20" s="5" t="s">
        <v>44</v>
      </c>
      <c r="B20" s="18">
        <v>5.0</v>
      </c>
      <c r="C20" s="18">
        <v>0.0490196078431373</v>
      </c>
      <c r="D20" s="18">
        <v>4.0</v>
      </c>
      <c r="E20" s="5" t="s">
        <v>44</v>
      </c>
      <c r="F20" s="5" t="s">
        <v>164</v>
      </c>
      <c r="G20" s="18">
        <v>4.902</v>
      </c>
    </row>
    <row r="21" ht="15.75" customHeight="1">
      <c r="A21" s="5" t="s">
        <v>45</v>
      </c>
      <c r="B21" s="18">
        <v>6.0</v>
      </c>
      <c r="C21" s="18">
        <v>0.0588235294117647</v>
      </c>
      <c r="D21" s="18">
        <v>5.0</v>
      </c>
      <c r="E21" s="5" t="s">
        <v>45</v>
      </c>
      <c r="F21" s="5" t="s">
        <v>165</v>
      </c>
      <c r="G21" s="18">
        <v>5.882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0.0"/>
    <col customWidth="1" min="2" max="2" width="12.0"/>
    <col customWidth="1" min="3" max="3" width="30.0"/>
    <col customWidth="1" min="4" max="4" width="11.0"/>
    <col customWidth="1" min="5" max="5" width="14.0"/>
    <col customWidth="1" min="6" max="7" width="11.0"/>
    <col customWidth="1" min="8" max="8" width="55.0"/>
    <col customWidth="1" min="9" max="26" width="8.71"/>
  </cols>
  <sheetData>
    <row r="1">
      <c r="A1" s="4" t="s">
        <v>25</v>
      </c>
      <c r="B1" s="4" t="s">
        <v>166</v>
      </c>
      <c r="C1" s="4" t="s">
        <v>167</v>
      </c>
      <c r="D1" s="4" t="s">
        <v>168</v>
      </c>
      <c r="E1" s="4" t="s">
        <v>169</v>
      </c>
      <c r="F1" s="4" t="s">
        <v>170</v>
      </c>
      <c r="G1" s="4" t="s">
        <v>171</v>
      </c>
      <c r="H1" s="4" t="s">
        <v>172</v>
      </c>
    </row>
    <row r="2">
      <c r="A2" s="5" t="s">
        <v>108</v>
      </c>
      <c r="B2" s="5" t="s">
        <v>173</v>
      </c>
      <c r="C2" s="5" t="s">
        <v>96</v>
      </c>
      <c r="D2" s="5" t="s">
        <v>174</v>
      </c>
      <c r="E2" s="5"/>
      <c r="F2" s="18">
        <v>5.55519263569379</v>
      </c>
      <c r="G2" s="18">
        <v>-0.246352669320267</v>
      </c>
      <c r="H2" s="5" t="s">
        <v>175</v>
      </c>
    </row>
    <row r="3">
      <c r="A3" s="5" t="s">
        <v>116</v>
      </c>
      <c r="B3" s="5" t="s">
        <v>173</v>
      </c>
      <c r="C3" s="5" t="s">
        <v>96</v>
      </c>
      <c r="D3" s="5" t="s">
        <v>176</v>
      </c>
      <c r="E3" s="5"/>
      <c r="F3" s="18">
        <v>8.2573424023204</v>
      </c>
      <c r="G3" s="18">
        <v>-10.5141905081828</v>
      </c>
      <c r="H3" s="5" t="s">
        <v>177</v>
      </c>
    </row>
    <row r="4">
      <c r="A4" s="5" t="s">
        <v>95</v>
      </c>
      <c r="B4" s="5" t="s">
        <v>173</v>
      </c>
      <c r="C4" s="5" t="s">
        <v>96</v>
      </c>
      <c r="D4" s="5" t="s">
        <v>178</v>
      </c>
      <c r="E4" s="5"/>
      <c r="F4" s="18">
        <v>4.63771476712529</v>
      </c>
      <c r="G4" s="18">
        <v>-1.18655288150247</v>
      </c>
      <c r="H4" s="5" t="s">
        <v>179</v>
      </c>
    </row>
    <row r="5">
      <c r="A5" s="5" t="s">
        <v>102</v>
      </c>
      <c r="B5" s="5" t="s">
        <v>173</v>
      </c>
      <c r="C5" s="5" t="s">
        <v>96</v>
      </c>
      <c r="D5" s="5" t="s">
        <v>180</v>
      </c>
      <c r="E5" s="5"/>
      <c r="F5" s="18">
        <v>6.16383432753866</v>
      </c>
      <c r="G5" s="18">
        <v>-0.524529207264947</v>
      </c>
      <c r="H5" s="5" t="s">
        <v>181</v>
      </c>
    </row>
    <row r="6">
      <c r="A6" s="5" t="s">
        <v>106</v>
      </c>
      <c r="B6" s="5" t="s">
        <v>173</v>
      </c>
      <c r="C6" s="5" t="s">
        <v>96</v>
      </c>
      <c r="D6" s="5" t="s">
        <v>182</v>
      </c>
      <c r="E6" s="5"/>
      <c r="F6" s="18">
        <v>8.79323964008144</v>
      </c>
      <c r="G6" s="18">
        <v>1.9137608183552</v>
      </c>
      <c r="H6" s="5" t="s">
        <v>183</v>
      </c>
    </row>
    <row r="7">
      <c r="A7" s="5" t="s">
        <v>113</v>
      </c>
      <c r="B7" s="5" t="s">
        <v>173</v>
      </c>
      <c r="C7" s="5" t="s">
        <v>96</v>
      </c>
      <c r="D7" s="5" t="s">
        <v>184</v>
      </c>
      <c r="E7" s="5"/>
      <c r="F7" s="18">
        <v>8.77789267898766</v>
      </c>
      <c r="G7" s="18">
        <v>1.88910390304004</v>
      </c>
      <c r="H7" s="5" t="s">
        <v>183</v>
      </c>
    </row>
    <row r="8">
      <c r="A8" s="5" t="s">
        <v>107</v>
      </c>
      <c r="B8" s="5" t="s">
        <v>173</v>
      </c>
      <c r="C8" s="5" t="s">
        <v>96</v>
      </c>
      <c r="D8" s="5" t="s">
        <v>185</v>
      </c>
      <c r="E8" s="5"/>
      <c r="F8" s="18">
        <v>1.94838860171535</v>
      </c>
      <c r="G8" s="18">
        <v>-3.0132924223982</v>
      </c>
      <c r="H8" s="5" t="s">
        <v>186</v>
      </c>
    </row>
    <row r="9">
      <c r="A9" s="5" t="s">
        <v>110</v>
      </c>
      <c r="B9" s="5" t="s">
        <v>173</v>
      </c>
      <c r="C9" s="5" t="s">
        <v>96</v>
      </c>
      <c r="D9" s="5" t="s">
        <v>187</v>
      </c>
      <c r="E9" s="5"/>
      <c r="F9" s="18">
        <v>12.9759737683815</v>
      </c>
      <c r="G9" s="18">
        <v>4.63247764931848</v>
      </c>
      <c r="H9" s="5" t="s">
        <v>188</v>
      </c>
    </row>
    <row r="10">
      <c r="A10" s="5" t="s">
        <v>111</v>
      </c>
      <c r="B10" s="5" t="s">
        <v>173</v>
      </c>
      <c r="C10" s="5" t="s">
        <v>96</v>
      </c>
      <c r="D10" s="5" t="s">
        <v>189</v>
      </c>
      <c r="E10" s="5"/>
      <c r="F10" s="18">
        <v>10.3814817197976</v>
      </c>
      <c r="G10" s="18">
        <v>3.88603735864545</v>
      </c>
      <c r="H10" s="5" t="s">
        <v>190</v>
      </c>
    </row>
    <row r="11">
      <c r="A11" s="5" t="s">
        <v>112</v>
      </c>
      <c r="B11" s="5" t="s">
        <v>173</v>
      </c>
      <c r="C11" s="5" t="s">
        <v>96</v>
      </c>
      <c r="D11" s="5" t="s">
        <v>191</v>
      </c>
      <c r="E11" s="5"/>
      <c r="F11" s="18">
        <v>9.07555163039246</v>
      </c>
      <c r="G11" s="18">
        <v>4.72468971597966</v>
      </c>
      <c r="H11" s="5" t="s">
        <v>192</v>
      </c>
    </row>
    <row r="12">
      <c r="A12" s="5" t="s">
        <v>109</v>
      </c>
      <c r="B12" s="5" t="s">
        <v>173</v>
      </c>
      <c r="C12" s="5" t="s">
        <v>96</v>
      </c>
      <c r="D12" s="5" t="s">
        <v>193</v>
      </c>
      <c r="E12" s="5"/>
      <c r="F12" s="18">
        <v>7.49917932656787</v>
      </c>
      <c r="G12" s="18">
        <v>3.58007622580771</v>
      </c>
      <c r="H12" s="5" t="s">
        <v>192</v>
      </c>
    </row>
    <row r="13">
      <c r="A13" s="5" t="s">
        <v>100</v>
      </c>
      <c r="B13" s="5" t="s">
        <v>173</v>
      </c>
      <c r="C13" s="5" t="s">
        <v>96</v>
      </c>
      <c r="D13" s="5" t="s">
        <v>194</v>
      </c>
      <c r="E13" s="5"/>
      <c r="F13" s="18">
        <v>6.2306808511864</v>
      </c>
      <c r="G13" s="18">
        <v>1.81295325243757</v>
      </c>
      <c r="H13" s="5" t="s">
        <v>192</v>
      </c>
    </row>
    <row r="14">
      <c r="A14" s="5" t="s">
        <v>115</v>
      </c>
      <c r="B14" s="5" t="s">
        <v>173</v>
      </c>
      <c r="C14" s="5" t="s">
        <v>96</v>
      </c>
      <c r="D14" s="5" t="s">
        <v>195</v>
      </c>
      <c r="E14" s="5"/>
      <c r="F14" s="18">
        <v>6.64474478379767</v>
      </c>
      <c r="G14" s="18">
        <v>2.18432731055661</v>
      </c>
      <c r="H14" s="5" t="s">
        <v>196</v>
      </c>
    </row>
    <row r="15">
      <c r="A15" s="5" t="s">
        <v>104</v>
      </c>
      <c r="B15" s="5" t="s">
        <v>173</v>
      </c>
      <c r="C15" s="5" t="s">
        <v>96</v>
      </c>
      <c r="D15" s="5" t="s">
        <v>197</v>
      </c>
      <c r="E15" s="5"/>
      <c r="F15" s="18">
        <v>4.83421824541151</v>
      </c>
      <c r="G15" s="18">
        <v>3.85037365774902</v>
      </c>
      <c r="H15" s="5" t="s">
        <v>198</v>
      </c>
    </row>
    <row r="16">
      <c r="A16" s="5" t="s">
        <v>117</v>
      </c>
      <c r="B16" s="5" t="s">
        <v>173</v>
      </c>
      <c r="C16" s="5" t="s">
        <v>96</v>
      </c>
      <c r="D16" s="5" t="s">
        <v>199</v>
      </c>
      <c r="E16" s="5"/>
      <c r="F16" s="18">
        <v>17.5734624180401</v>
      </c>
      <c r="G16" s="18">
        <v>11.4544901374713</v>
      </c>
      <c r="H16" s="5" t="s">
        <v>200</v>
      </c>
    </row>
    <row r="17">
      <c r="A17" s="5" t="s">
        <v>97</v>
      </c>
      <c r="B17" s="5" t="s">
        <v>173</v>
      </c>
      <c r="C17" s="5" t="s">
        <v>96</v>
      </c>
      <c r="D17" s="5" t="s">
        <v>201</v>
      </c>
      <c r="E17" s="5"/>
      <c r="F17" s="18">
        <v>25.1879825944623</v>
      </c>
      <c r="G17" s="18">
        <v>17.347199387525</v>
      </c>
      <c r="H17" s="5" t="s">
        <v>202</v>
      </c>
    </row>
    <row r="18">
      <c r="A18" s="5" t="s">
        <v>122</v>
      </c>
      <c r="B18" s="5" t="s">
        <v>173</v>
      </c>
      <c r="C18" s="5" t="s">
        <v>96</v>
      </c>
      <c r="D18" s="5" t="s">
        <v>203</v>
      </c>
      <c r="E18" s="5"/>
      <c r="F18" s="18">
        <v>6.05928492494284</v>
      </c>
      <c r="G18" s="18">
        <v>0.229224444836932</v>
      </c>
      <c r="H18" s="5" t="s">
        <v>204</v>
      </c>
    </row>
    <row r="19">
      <c r="A19" s="5" t="s">
        <v>98</v>
      </c>
      <c r="B19" s="5" t="s">
        <v>205</v>
      </c>
      <c r="C19" s="5" t="s">
        <v>99</v>
      </c>
      <c r="D19" s="5" t="s">
        <v>206</v>
      </c>
      <c r="E19" s="5" t="s">
        <v>207</v>
      </c>
      <c r="F19" s="18">
        <v>8.20349019607843</v>
      </c>
      <c r="G19" s="18">
        <v>1.412</v>
      </c>
      <c r="H19" s="5" t="s">
        <v>208</v>
      </c>
    </row>
    <row r="20">
      <c r="A20" s="5" t="s">
        <v>118</v>
      </c>
      <c r="B20" s="5" t="s">
        <v>205</v>
      </c>
      <c r="C20" s="5" t="s">
        <v>99</v>
      </c>
      <c r="D20" s="5" t="s">
        <v>206</v>
      </c>
      <c r="E20" s="5" t="s">
        <v>209</v>
      </c>
      <c r="F20" s="18">
        <v>4.9871568627451</v>
      </c>
      <c r="G20" s="18">
        <v>-1.21</v>
      </c>
      <c r="H20" s="5" t="s">
        <v>210</v>
      </c>
    </row>
    <row r="21" ht="15.75" customHeight="1">
      <c r="A21" s="5" t="s">
        <v>101</v>
      </c>
      <c r="B21" s="5" t="s">
        <v>205</v>
      </c>
      <c r="C21" s="5" t="s">
        <v>99</v>
      </c>
      <c r="D21" s="5" t="s">
        <v>206</v>
      </c>
      <c r="E21" s="5" t="s">
        <v>211</v>
      </c>
      <c r="F21" s="18">
        <v>9.56161764705882</v>
      </c>
      <c r="G21" s="18">
        <v>7.89</v>
      </c>
      <c r="H21" s="5" t="s">
        <v>212</v>
      </c>
    </row>
    <row r="22" ht="15.75" customHeight="1">
      <c r="A22" s="5" t="s">
        <v>105</v>
      </c>
      <c r="B22" s="5" t="s">
        <v>205</v>
      </c>
      <c r="C22" s="5" t="s">
        <v>99</v>
      </c>
      <c r="D22" s="5" t="s">
        <v>206</v>
      </c>
      <c r="E22" s="5" t="s">
        <v>213</v>
      </c>
      <c r="F22" s="18">
        <v>4.83421824541151</v>
      </c>
      <c r="G22" s="18">
        <v>3.85037365774902</v>
      </c>
      <c r="H22" s="5" t="s">
        <v>214</v>
      </c>
    </row>
    <row r="23" ht="15.75" customHeight="1">
      <c r="A23" s="5" t="s">
        <v>120</v>
      </c>
      <c r="B23" s="5" t="s">
        <v>205</v>
      </c>
      <c r="C23" s="5" t="s">
        <v>99</v>
      </c>
      <c r="D23" s="5" t="s">
        <v>206</v>
      </c>
      <c r="E23" s="5" t="s">
        <v>215</v>
      </c>
      <c r="F23" s="18">
        <v>4.91726844362114</v>
      </c>
      <c r="G23" s="18">
        <v>-1.20531057630049</v>
      </c>
      <c r="H23" s="5" t="s">
        <v>216</v>
      </c>
    </row>
    <row r="24" ht="15.75" customHeight="1">
      <c r="A24" s="5" t="s">
        <v>121</v>
      </c>
      <c r="B24" s="5" t="s">
        <v>205</v>
      </c>
      <c r="C24" s="5" t="s">
        <v>99</v>
      </c>
      <c r="D24" s="5" t="s">
        <v>206</v>
      </c>
      <c r="E24" s="5" t="s">
        <v>217</v>
      </c>
      <c r="F24" s="18">
        <v>4.91726844362114</v>
      </c>
      <c r="G24" s="18">
        <v>-1.20531057630049</v>
      </c>
      <c r="H24" s="5" t="s">
        <v>218</v>
      </c>
    </row>
    <row r="25" ht="15.75" customHeight="1">
      <c r="A25" s="5" t="s">
        <v>119</v>
      </c>
      <c r="B25" s="5" t="s">
        <v>205</v>
      </c>
      <c r="C25" s="5" t="s">
        <v>99</v>
      </c>
      <c r="D25" s="5" t="s">
        <v>206</v>
      </c>
      <c r="E25" s="5" t="s">
        <v>219</v>
      </c>
      <c r="F25" s="18">
        <v>3.58127251476353</v>
      </c>
      <c r="G25" s="18">
        <v>-2.01890240704446</v>
      </c>
      <c r="H25" s="5" t="s">
        <v>220</v>
      </c>
    </row>
    <row r="26" ht="15.75" customHeight="1">
      <c r="A26" s="5" t="s">
        <v>114</v>
      </c>
      <c r="B26" s="5" t="s">
        <v>205</v>
      </c>
      <c r="C26" s="5" t="s">
        <v>99</v>
      </c>
      <c r="D26" s="5" t="s">
        <v>206</v>
      </c>
      <c r="E26" s="5" t="s">
        <v>221</v>
      </c>
      <c r="F26" s="18">
        <v>8.29598039215686</v>
      </c>
      <c r="G26" s="18">
        <v>0.257</v>
      </c>
      <c r="H26" s="5" t="s">
        <v>222</v>
      </c>
    </row>
    <row r="27" ht="15.75" customHeight="1">
      <c r="A27" s="5" t="s">
        <v>103</v>
      </c>
      <c r="B27" s="5" t="s">
        <v>205</v>
      </c>
      <c r="C27" s="5" t="s">
        <v>99</v>
      </c>
      <c r="D27" s="5" t="s">
        <v>206</v>
      </c>
      <c r="E27" s="5" t="s">
        <v>223</v>
      </c>
      <c r="F27" s="18">
        <v>9.74766242852624</v>
      </c>
      <c r="G27" s="18">
        <v>4.52901867932272</v>
      </c>
      <c r="H27" s="5" t="s">
        <v>224</v>
      </c>
    </row>
    <row r="28" ht="15.75" customHeight="1">
      <c r="A28" s="5" t="s">
        <v>123</v>
      </c>
      <c r="B28" s="5" t="s">
        <v>205</v>
      </c>
      <c r="C28" s="5" t="s">
        <v>99</v>
      </c>
      <c r="D28" s="5" t="s">
        <v>206</v>
      </c>
      <c r="E28" s="5" t="s">
        <v>225</v>
      </c>
      <c r="F28" s="18">
        <v>5.85764800924322</v>
      </c>
      <c r="G28" s="18">
        <v>0.0389935991740522</v>
      </c>
      <c r="H28" s="5" t="s">
        <v>226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30.0"/>
    <col customWidth="1" min="2" max="2" width="16.0"/>
    <col customWidth="1" min="3" max="5" width="11.0"/>
    <col customWidth="1" min="6" max="6" width="26.0"/>
    <col customWidth="1" min="7" max="7" width="11.0"/>
    <col customWidth="1" min="8" max="8" width="14.0"/>
    <col customWidth="1" min="9" max="26" width="8.71"/>
  </cols>
  <sheetData>
    <row r="1">
      <c r="A1" s="4" t="s">
        <v>227</v>
      </c>
      <c r="B1" s="4" t="s">
        <v>228</v>
      </c>
      <c r="C1" s="4" t="s">
        <v>229</v>
      </c>
      <c r="D1" s="4" t="s">
        <v>230</v>
      </c>
      <c r="E1" s="4" t="s">
        <v>231</v>
      </c>
      <c r="F1" s="4" t="s">
        <v>232</v>
      </c>
      <c r="G1" s="4" t="s">
        <v>233</v>
      </c>
      <c r="H1" s="4" t="s">
        <v>234</v>
      </c>
    </row>
    <row r="2">
      <c r="A2" s="5" t="s">
        <v>235</v>
      </c>
      <c r="B2" s="5" t="s">
        <v>236</v>
      </c>
      <c r="C2" s="18">
        <v>1.0</v>
      </c>
      <c r="D2" s="18">
        <v>100.0</v>
      </c>
      <c r="E2" s="18">
        <v>0.0</v>
      </c>
      <c r="F2" s="5" t="s">
        <v>95</v>
      </c>
      <c r="G2" s="18">
        <v>1.0</v>
      </c>
      <c r="H2" s="5"/>
    </row>
    <row r="3">
      <c r="A3" s="5" t="s">
        <v>237</v>
      </c>
      <c r="B3" s="5" t="s">
        <v>238</v>
      </c>
      <c r="C3" s="18">
        <v>5.0</v>
      </c>
      <c r="D3" s="18">
        <v>100.0</v>
      </c>
      <c r="E3" s="18">
        <v>0.0999999999999999</v>
      </c>
      <c r="F3" s="5" t="s">
        <v>239</v>
      </c>
      <c r="G3" s="18">
        <v>1.0</v>
      </c>
      <c r="H3" s="5"/>
    </row>
    <row r="4">
      <c r="A4" s="5" t="s">
        <v>240</v>
      </c>
      <c r="B4" s="5" t="s">
        <v>238</v>
      </c>
      <c r="C4" s="18">
        <v>7.0</v>
      </c>
      <c r="D4" s="18">
        <v>100.0</v>
      </c>
      <c r="E4" s="18">
        <v>0.25</v>
      </c>
      <c r="F4" s="5" t="s">
        <v>241</v>
      </c>
      <c r="G4" s="18">
        <v>1.0</v>
      </c>
      <c r="H4" s="5"/>
    </row>
    <row r="5">
      <c r="A5" s="5" t="s">
        <v>242</v>
      </c>
      <c r="B5" s="5" t="s">
        <v>238</v>
      </c>
      <c r="C5" s="18">
        <v>5.0</v>
      </c>
      <c r="D5" s="18">
        <v>100.0</v>
      </c>
      <c r="E5" s="18">
        <v>0.3</v>
      </c>
      <c r="F5" s="5" t="s">
        <v>243</v>
      </c>
      <c r="G5" s="18">
        <v>1.0</v>
      </c>
      <c r="H5" s="5"/>
    </row>
    <row r="6">
      <c r="A6" s="5" t="s">
        <v>244</v>
      </c>
      <c r="B6" s="5" t="s">
        <v>236</v>
      </c>
      <c r="C6" s="18">
        <v>2.0</v>
      </c>
      <c r="D6" s="18">
        <v>100.0</v>
      </c>
      <c r="E6" s="18">
        <v>0.5</v>
      </c>
      <c r="F6" s="5" t="s">
        <v>95</v>
      </c>
      <c r="G6" s="18">
        <v>1.0</v>
      </c>
      <c r="H6" s="5"/>
    </row>
    <row r="7">
      <c r="A7" s="5" t="s">
        <v>245</v>
      </c>
      <c r="B7" s="5" t="s">
        <v>236</v>
      </c>
      <c r="C7" s="18">
        <v>3.0</v>
      </c>
      <c r="D7" s="18">
        <v>100.0</v>
      </c>
      <c r="E7" s="18">
        <v>0.52</v>
      </c>
      <c r="F7" s="5" t="s">
        <v>246</v>
      </c>
      <c r="G7" s="18">
        <v>1.0</v>
      </c>
      <c r="H7" s="5"/>
    </row>
    <row r="8">
      <c r="A8" s="5" t="s">
        <v>247</v>
      </c>
      <c r="B8" s="5" t="s">
        <v>236</v>
      </c>
      <c r="C8" s="18">
        <v>3.0</v>
      </c>
      <c r="D8" s="18">
        <v>100.0</v>
      </c>
      <c r="E8" s="18">
        <v>0.6</v>
      </c>
      <c r="F8" s="5" t="s">
        <v>248</v>
      </c>
      <c r="G8" s="18">
        <v>1.0</v>
      </c>
      <c r="H8" s="5"/>
    </row>
    <row r="9">
      <c r="A9" s="5" t="s">
        <v>249</v>
      </c>
      <c r="B9" s="5" t="s">
        <v>238</v>
      </c>
      <c r="C9" s="18">
        <v>21.0</v>
      </c>
      <c r="D9" s="18">
        <v>100.0</v>
      </c>
      <c r="E9" s="18">
        <v>0.8</v>
      </c>
      <c r="F9" s="5" t="s">
        <v>250</v>
      </c>
      <c r="G9" s="18">
        <v>1.0</v>
      </c>
      <c r="H9" s="5"/>
    </row>
    <row r="10">
      <c r="A10" s="5" t="s">
        <v>251</v>
      </c>
      <c r="B10" s="5" t="s">
        <v>252</v>
      </c>
      <c r="C10" s="18">
        <v>13.0</v>
      </c>
      <c r="D10" s="18">
        <v>100.0</v>
      </c>
      <c r="E10" s="18">
        <v>0.82</v>
      </c>
      <c r="F10" s="5" t="s">
        <v>253</v>
      </c>
      <c r="G10" s="18">
        <v>1.0</v>
      </c>
      <c r="H10" s="5"/>
    </row>
    <row r="11">
      <c r="A11" s="5" t="s">
        <v>254</v>
      </c>
      <c r="B11" s="5" t="s">
        <v>236</v>
      </c>
      <c r="C11" s="18">
        <v>16.0</v>
      </c>
      <c r="D11" s="18">
        <v>100.0</v>
      </c>
      <c r="E11" s="18">
        <v>0.83</v>
      </c>
      <c r="F11" s="5" t="s">
        <v>255</v>
      </c>
      <c r="G11" s="18">
        <v>1.0</v>
      </c>
      <c r="H11" s="5"/>
    </row>
    <row r="12">
      <c r="A12" s="5" t="s">
        <v>256</v>
      </c>
      <c r="B12" s="5" t="s">
        <v>252</v>
      </c>
      <c r="C12" s="18">
        <v>12.0</v>
      </c>
      <c r="D12" s="18">
        <v>100.0</v>
      </c>
      <c r="E12" s="18">
        <v>0.87</v>
      </c>
      <c r="F12" s="5" t="s">
        <v>108</v>
      </c>
      <c r="G12" s="18">
        <v>1.0</v>
      </c>
      <c r="H12" s="5"/>
    </row>
    <row r="13">
      <c r="A13" s="5" t="s">
        <v>257</v>
      </c>
      <c r="B13" s="5" t="s">
        <v>236</v>
      </c>
      <c r="C13" s="18">
        <v>16.0</v>
      </c>
      <c r="D13" s="18">
        <v>100.0</v>
      </c>
      <c r="E13" s="18">
        <v>0.88</v>
      </c>
      <c r="F13" s="5" t="s">
        <v>253</v>
      </c>
      <c r="G13" s="18">
        <v>1.0</v>
      </c>
      <c r="H13" s="5"/>
    </row>
    <row r="14">
      <c r="A14" s="5" t="s">
        <v>258</v>
      </c>
      <c r="B14" s="5" t="s">
        <v>236</v>
      </c>
      <c r="C14" s="18">
        <v>13.0</v>
      </c>
      <c r="D14" s="18">
        <v>100.0</v>
      </c>
      <c r="E14" s="18">
        <v>0.88</v>
      </c>
      <c r="F14" s="5" t="s">
        <v>253</v>
      </c>
      <c r="G14" s="18">
        <v>1.0</v>
      </c>
      <c r="H14" s="5"/>
    </row>
    <row r="15">
      <c r="A15" s="5" t="s">
        <v>259</v>
      </c>
      <c r="B15" s="5" t="s">
        <v>236</v>
      </c>
      <c r="C15" s="18">
        <v>13.0</v>
      </c>
      <c r="D15" s="18">
        <v>100.0</v>
      </c>
      <c r="E15" s="18">
        <v>0.88</v>
      </c>
      <c r="F15" s="5" t="s">
        <v>253</v>
      </c>
      <c r="G15" s="18">
        <v>1.0</v>
      </c>
      <c r="H15" s="5"/>
    </row>
    <row r="16">
      <c r="A16" s="5" t="s">
        <v>260</v>
      </c>
      <c r="B16" s="5" t="s">
        <v>236</v>
      </c>
      <c r="C16" s="18">
        <v>12.0</v>
      </c>
      <c r="D16" s="18">
        <v>100.0</v>
      </c>
      <c r="E16" s="18">
        <v>0.88</v>
      </c>
      <c r="F16" s="5" t="s">
        <v>108</v>
      </c>
      <c r="G16" s="18">
        <v>1.0</v>
      </c>
      <c r="H16" s="5"/>
    </row>
    <row r="17">
      <c r="A17" s="5" t="s">
        <v>261</v>
      </c>
      <c r="B17" s="5" t="s">
        <v>238</v>
      </c>
      <c r="C17" s="18">
        <v>12.0</v>
      </c>
      <c r="D17" s="18">
        <v>100.0</v>
      </c>
      <c r="E17" s="18">
        <v>0.9</v>
      </c>
      <c r="F17" s="5" t="s">
        <v>253</v>
      </c>
      <c r="G17" s="18">
        <v>1.0</v>
      </c>
      <c r="H17" s="5"/>
    </row>
    <row r="18">
      <c r="A18" s="5" t="s">
        <v>262</v>
      </c>
      <c r="B18" s="5" t="s">
        <v>236</v>
      </c>
      <c r="C18" s="18">
        <v>11.0</v>
      </c>
      <c r="D18" s="18">
        <v>100.0</v>
      </c>
      <c r="E18" s="18">
        <v>0.9</v>
      </c>
      <c r="F18" s="5" t="s">
        <v>116</v>
      </c>
      <c r="G18" s="18">
        <v>1.0</v>
      </c>
      <c r="H18" s="5"/>
    </row>
    <row r="19">
      <c r="A19" s="5" t="s">
        <v>263</v>
      </c>
      <c r="B19" s="5" t="s">
        <v>252</v>
      </c>
      <c r="C19" s="18">
        <v>13.0</v>
      </c>
      <c r="D19" s="18">
        <v>100.0</v>
      </c>
      <c r="E19" s="18">
        <v>0.9</v>
      </c>
      <c r="F19" s="5" t="s">
        <v>108</v>
      </c>
      <c r="G19" s="18">
        <v>1.0</v>
      </c>
      <c r="H19" s="5"/>
    </row>
    <row r="20">
      <c r="A20" s="5" t="s">
        <v>264</v>
      </c>
      <c r="B20" s="5" t="s">
        <v>236</v>
      </c>
      <c r="C20" s="18">
        <v>13.0</v>
      </c>
      <c r="D20" s="18">
        <v>100.0</v>
      </c>
      <c r="E20" s="18">
        <v>0.91</v>
      </c>
      <c r="F20" s="5" t="s">
        <v>108</v>
      </c>
      <c r="G20" s="18">
        <v>1.0</v>
      </c>
      <c r="H20" s="5"/>
    </row>
    <row r="21" ht="15.75" customHeight="1">
      <c r="A21" s="5" t="s">
        <v>265</v>
      </c>
      <c r="B21" s="5" t="s">
        <v>252</v>
      </c>
      <c r="C21" s="18">
        <v>13.0</v>
      </c>
      <c r="D21" s="18">
        <v>100.0</v>
      </c>
      <c r="E21" s="18">
        <v>0.91</v>
      </c>
      <c r="F21" s="5" t="s">
        <v>116</v>
      </c>
      <c r="G21" s="18">
        <v>1.0</v>
      </c>
      <c r="H21" s="5"/>
    </row>
    <row r="22" ht="15.75" customHeight="1">
      <c r="A22" s="5" t="s">
        <v>266</v>
      </c>
      <c r="B22" s="5" t="s">
        <v>252</v>
      </c>
      <c r="C22" s="18">
        <v>12.0</v>
      </c>
      <c r="D22" s="18">
        <v>100.0</v>
      </c>
      <c r="E22" s="18">
        <v>0.92</v>
      </c>
      <c r="F22" s="5" t="s">
        <v>116</v>
      </c>
      <c r="G22" s="18">
        <v>1.0</v>
      </c>
      <c r="H22" s="5"/>
    </row>
    <row r="23" ht="15.75" customHeight="1">
      <c r="A23" s="5" t="s">
        <v>267</v>
      </c>
      <c r="B23" s="5" t="s">
        <v>252</v>
      </c>
      <c r="C23" s="18">
        <v>13.0</v>
      </c>
      <c r="D23" s="18">
        <v>100.0</v>
      </c>
      <c r="E23" s="18">
        <v>0.92</v>
      </c>
      <c r="F23" s="5" t="s">
        <v>108</v>
      </c>
      <c r="G23" s="18">
        <v>1.0</v>
      </c>
      <c r="H23" s="5"/>
    </row>
    <row r="24" ht="15.75" customHeight="1">
      <c r="A24" s="5" t="s">
        <v>268</v>
      </c>
      <c r="B24" s="5" t="s">
        <v>252</v>
      </c>
      <c r="C24" s="18">
        <v>13.0</v>
      </c>
      <c r="D24" s="18">
        <v>100.0</v>
      </c>
      <c r="E24" s="18">
        <v>0.92</v>
      </c>
      <c r="F24" s="5" t="s">
        <v>108</v>
      </c>
      <c r="G24" s="18">
        <v>1.0</v>
      </c>
      <c r="H24" s="5"/>
    </row>
    <row r="25" ht="15.75" customHeight="1">
      <c r="A25" s="5" t="s">
        <v>269</v>
      </c>
      <c r="B25" s="5" t="s">
        <v>238</v>
      </c>
      <c r="C25" s="18">
        <v>15.0</v>
      </c>
      <c r="D25" s="18">
        <v>102.0</v>
      </c>
      <c r="E25" s="18">
        <v>0.92156862745098</v>
      </c>
      <c r="F25" s="5" t="s">
        <v>270</v>
      </c>
      <c r="G25" s="18">
        <v>1.0</v>
      </c>
      <c r="H25" s="5"/>
    </row>
    <row r="26" ht="15.75" customHeight="1">
      <c r="A26" s="5" t="s">
        <v>271</v>
      </c>
      <c r="B26" s="5" t="s">
        <v>252</v>
      </c>
      <c r="C26" s="18">
        <v>12.0</v>
      </c>
      <c r="D26" s="18">
        <v>100.0</v>
      </c>
      <c r="E26" s="18">
        <v>0.93</v>
      </c>
      <c r="F26" s="5" t="s">
        <v>108</v>
      </c>
      <c r="G26" s="18">
        <v>1.0</v>
      </c>
      <c r="H26" s="5"/>
    </row>
    <row r="27" ht="15.75" customHeight="1">
      <c r="A27" s="5" t="s">
        <v>272</v>
      </c>
      <c r="B27" s="5" t="s">
        <v>238</v>
      </c>
      <c r="C27" s="18">
        <v>11.0</v>
      </c>
      <c r="D27" s="18">
        <v>100.0</v>
      </c>
      <c r="E27" s="18">
        <v>0.94</v>
      </c>
      <c r="F27" s="5" t="s">
        <v>116</v>
      </c>
      <c r="G27" s="18">
        <v>1.0</v>
      </c>
      <c r="H27" s="5"/>
    </row>
    <row r="28" ht="15.75" customHeight="1">
      <c r="A28" s="5" t="s">
        <v>273</v>
      </c>
      <c r="B28" s="5" t="s">
        <v>236</v>
      </c>
      <c r="C28" s="18">
        <v>16.0</v>
      </c>
      <c r="D28" s="18">
        <v>100.0</v>
      </c>
      <c r="E28" s="18">
        <v>0.94</v>
      </c>
      <c r="F28" s="5" t="s">
        <v>253</v>
      </c>
      <c r="G28" s="18">
        <v>1.0</v>
      </c>
      <c r="H28" s="5"/>
    </row>
    <row r="29" ht="15.75" customHeight="1">
      <c r="A29" s="5" t="s">
        <v>274</v>
      </c>
      <c r="B29" s="5" t="s">
        <v>252</v>
      </c>
      <c r="C29" s="18">
        <v>14.0</v>
      </c>
      <c r="D29" s="18">
        <v>100.0</v>
      </c>
      <c r="E29" s="18">
        <v>0.94</v>
      </c>
      <c r="F29" s="5" t="s">
        <v>116</v>
      </c>
      <c r="G29" s="18">
        <v>1.0</v>
      </c>
      <c r="H29" s="5"/>
    </row>
    <row r="30" ht="15.75" customHeight="1">
      <c r="A30" s="5" t="s">
        <v>275</v>
      </c>
      <c r="B30" s="5" t="s">
        <v>252</v>
      </c>
      <c r="C30" s="18">
        <v>13.0</v>
      </c>
      <c r="D30" s="18">
        <v>100.0</v>
      </c>
      <c r="E30" s="18">
        <v>0.94</v>
      </c>
      <c r="F30" s="5" t="s">
        <v>108</v>
      </c>
      <c r="G30" s="18">
        <v>1.0</v>
      </c>
      <c r="H30" s="5"/>
    </row>
    <row r="31" ht="15.75" customHeight="1">
      <c r="A31" s="5" t="s">
        <v>276</v>
      </c>
      <c r="B31" s="5" t="s">
        <v>252</v>
      </c>
      <c r="C31" s="18">
        <v>13.0</v>
      </c>
      <c r="D31" s="18">
        <v>100.0</v>
      </c>
      <c r="E31" s="18">
        <v>0.94</v>
      </c>
      <c r="F31" s="5" t="s">
        <v>116</v>
      </c>
      <c r="G31" s="18">
        <v>1.0</v>
      </c>
      <c r="H31" s="5"/>
    </row>
    <row r="32" ht="15.75" customHeight="1">
      <c r="A32" s="5" t="s">
        <v>277</v>
      </c>
      <c r="B32" s="5" t="s">
        <v>252</v>
      </c>
      <c r="C32" s="18">
        <v>13.0</v>
      </c>
      <c r="D32" s="18">
        <v>100.0</v>
      </c>
      <c r="E32" s="18">
        <v>0.94</v>
      </c>
      <c r="F32" s="5" t="s">
        <v>108</v>
      </c>
      <c r="G32" s="18">
        <v>1.0</v>
      </c>
      <c r="H32" s="5"/>
    </row>
    <row r="33" ht="15.75" customHeight="1">
      <c r="A33" s="5" t="s">
        <v>278</v>
      </c>
      <c r="B33" s="5" t="s">
        <v>252</v>
      </c>
      <c r="C33" s="18">
        <v>12.0</v>
      </c>
      <c r="D33" s="18">
        <v>100.0</v>
      </c>
      <c r="E33" s="18">
        <v>0.94</v>
      </c>
      <c r="F33" s="5" t="s">
        <v>108</v>
      </c>
      <c r="G33" s="18">
        <v>1.0</v>
      </c>
      <c r="H33" s="5"/>
    </row>
    <row r="34" ht="15.75" customHeight="1">
      <c r="A34" s="5" t="s">
        <v>279</v>
      </c>
      <c r="B34" s="5" t="s">
        <v>252</v>
      </c>
      <c r="C34" s="18">
        <v>14.0</v>
      </c>
      <c r="D34" s="18">
        <v>100.0</v>
      </c>
      <c r="E34" s="18">
        <v>0.94</v>
      </c>
      <c r="F34" s="5" t="s">
        <v>116</v>
      </c>
      <c r="G34" s="18">
        <v>1.0</v>
      </c>
      <c r="H34" s="5"/>
    </row>
    <row r="35" ht="15.75" customHeight="1">
      <c r="A35" s="5" t="s">
        <v>280</v>
      </c>
      <c r="B35" s="5" t="s">
        <v>238</v>
      </c>
      <c r="C35" s="18">
        <v>11.0</v>
      </c>
      <c r="D35" s="18">
        <v>100.0</v>
      </c>
      <c r="E35" s="18">
        <v>0.95</v>
      </c>
      <c r="F35" s="5" t="s">
        <v>116</v>
      </c>
      <c r="G35" s="18">
        <v>1.0</v>
      </c>
      <c r="H35" s="5"/>
    </row>
    <row r="36" ht="15.75" customHeight="1">
      <c r="A36" s="5" t="s">
        <v>281</v>
      </c>
      <c r="B36" s="5" t="s">
        <v>236</v>
      </c>
      <c r="C36" s="18">
        <v>14.0</v>
      </c>
      <c r="D36" s="18">
        <v>100.0</v>
      </c>
      <c r="E36" s="18">
        <v>0.95</v>
      </c>
      <c r="F36" s="5" t="s">
        <v>116</v>
      </c>
      <c r="G36" s="18">
        <v>1.0</v>
      </c>
      <c r="H36" s="5"/>
    </row>
    <row r="37" ht="15.75" customHeight="1">
      <c r="A37" s="5" t="s">
        <v>282</v>
      </c>
      <c r="B37" s="5" t="s">
        <v>236</v>
      </c>
      <c r="C37" s="18">
        <v>13.0</v>
      </c>
      <c r="D37" s="18">
        <v>100.0</v>
      </c>
      <c r="E37" s="18">
        <v>0.95</v>
      </c>
      <c r="F37" s="5" t="s">
        <v>116</v>
      </c>
      <c r="G37" s="18">
        <v>1.0</v>
      </c>
      <c r="H37" s="5"/>
    </row>
    <row r="38" ht="15.75" customHeight="1">
      <c r="A38" s="5" t="s">
        <v>283</v>
      </c>
      <c r="B38" s="5" t="s">
        <v>236</v>
      </c>
      <c r="C38" s="18">
        <v>12.0</v>
      </c>
      <c r="D38" s="18">
        <v>100.0</v>
      </c>
      <c r="E38" s="18">
        <v>0.95</v>
      </c>
      <c r="F38" s="5" t="s">
        <v>116</v>
      </c>
      <c r="G38" s="18">
        <v>1.0</v>
      </c>
      <c r="H38" s="5"/>
    </row>
    <row r="39" ht="15.75" customHeight="1">
      <c r="A39" s="5" t="s">
        <v>284</v>
      </c>
      <c r="B39" s="5" t="s">
        <v>252</v>
      </c>
      <c r="C39" s="18">
        <v>13.0</v>
      </c>
      <c r="D39" s="18">
        <v>100.0</v>
      </c>
      <c r="E39" s="18">
        <v>0.95</v>
      </c>
      <c r="F39" s="5" t="s">
        <v>108</v>
      </c>
      <c r="G39" s="18">
        <v>1.0</v>
      </c>
      <c r="H39" s="5"/>
    </row>
    <row r="40" ht="15.75" customHeight="1">
      <c r="A40" s="5" t="s">
        <v>285</v>
      </c>
      <c r="B40" s="5" t="s">
        <v>236</v>
      </c>
      <c r="C40" s="18">
        <v>13.0</v>
      </c>
      <c r="D40" s="18">
        <v>100.0</v>
      </c>
      <c r="E40" s="18">
        <v>0.96</v>
      </c>
      <c r="F40" s="5" t="s">
        <v>116</v>
      </c>
      <c r="G40" s="18">
        <v>1.0</v>
      </c>
      <c r="H40" s="5"/>
    </row>
    <row r="41" ht="15.75" customHeight="1">
      <c r="A41" s="5" t="s">
        <v>286</v>
      </c>
      <c r="B41" s="5" t="s">
        <v>252</v>
      </c>
      <c r="C41" s="18">
        <v>12.0</v>
      </c>
      <c r="D41" s="18">
        <v>100.0</v>
      </c>
      <c r="E41" s="18">
        <v>0.96</v>
      </c>
      <c r="F41" s="5" t="s">
        <v>116</v>
      </c>
      <c r="G41" s="18">
        <v>1.0</v>
      </c>
      <c r="H41" s="5"/>
    </row>
    <row r="42" ht="15.75" customHeight="1">
      <c r="A42" s="5" t="s">
        <v>287</v>
      </c>
      <c r="B42" s="5" t="s">
        <v>252</v>
      </c>
      <c r="C42" s="18">
        <v>12.0</v>
      </c>
      <c r="D42" s="18">
        <v>100.0</v>
      </c>
      <c r="E42" s="18">
        <v>0.96</v>
      </c>
      <c r="F42" s="5" t="s">
        <v>116</v>
      </c>
      <c r="G42" s="18">
        <v>1.0</v>
      </c>
      <c r="H42" s="5"/>
    </row>
    <row r="43" ht="15.75" customHeight="1">
      <c r="A43" s="5" t="s">
        <v>288</v>
      </c>
      <c r="B43" s="5" t="s">
        <v>236</v>
      </c>
      <c r="C43" s="18">
        <v>12.0</v>
      </c>
      <c r="D43" s="18">
        <v>100.0</v>
      </c>
      <c r="E43" s="18">
        <v>0.96</v>
      </c>
      <c r="F43" s="5" t="s">
        <v>116</v>
      </c>
      <c r="G43" s="18">
        <v>1.0</v>
      </c>
      <c r="H43" s="5"/>
    </row>
    <row r="44" ht="15.75" customHeight="1">
      <c r="A44" s="5" t="s">
        <v>289</v>
      </c>
      <c r="B44" s="5" t="s">
        <v>252</v>
      </c>
      <c r="C44" s="18">
        <v>11.0</v>
      </c>
      <c r="D44" s="18">
        <v>100.0</v>
      </c>
      <c r="E44" s="18">
        <v>0.97</v>
      </c>
      <c r="F44" s="5" t="s">
        <v>116</v>
      </c>
      <c r="G44" s="18">
        <v>1.0</v>
      </c>
      <c r="H44" s="5"/>
    </row>
    <row r="45" ht="15.75" customHeight="1">
      <c r="A45" s="5" t="s">
        <v>290</v>
      </c>
      <c r="B45" s="5" t="s">
        <v>236</v>
      </c>
      <c r="C45" s="18">
        <v>14.0</v>
      </c>
      <c r="D45" s="18">
        <v>100.0</v>
      </c>
      <c r="E45" s="18">
        <v>0.97</v>
      </c>
      <c r="F45" s="5" t="s">
        <v>116</v>
      </c>
      <c r="G45" s="18">
        <v>1.0</v>
      </c>
      <c r="H45" s="5"/>
    </row>
    <row r="46" ht="15.75" customHeight="1">
      <c r="A46" s="5" t="s">
        <v>291</v>
      </c>
      <c r="B46" s="5" t="s">
        <v>236</v>
      </c>
      <c r="C46" s="18">
        <v>14.0</v>
      </c>
      <c r="D46" s="18">
        <v>100.0</v>
      </c>
      <c r="E46" s="18">
        <v>0.98</v>
      </c>
      <c r="F46" s="5" t="s">
        <v>116</v>
      </c>
      <c r="G46" s="18">
        <v>1.0</v>
      </c>
      <c r="H46" s="5"/>
    </row>
    <row r="47" ht="15.75" customHeight="1">
      <c r="A47" s="5" t="s">
        <v>292</v>
      </c>
      <c r="B47" s="5" t="s">
        <v>252</v>
      </c>
      <c r="C47" s="18">
        <v>13.0</v>
      </c>
      <c r="D47" s="18">
        <v>100.0</v>
      </c>
      <c r="E47" s="18">
        <v>0.98</v>
      </c>
      <c r="F47" s="5" t="s">
        <v>116</v>
      </c>
      <c r="G47" s="18">
        <v>1.0</v>
      </c>
      <c r="H47" s="5"/>
    </row>
    <row r="48" ht="15.75" customHeight="1">
      <c r="A48" s="5" t="s">
        <v>293</v>
      </c>
      <c r="B48" s="5" t="s">
        <v>252</v>
      </c>
      <c r="C48" s="18">
        <v>12.0</v>
      </c>
      <c r="D48" s="18">
        <v>100.0</v>
      </c>
      <c r="E48" s="18">
        <v>0.99</v>
      </c>
      <c r="F48" s="5" t="s">
        <v>108</v>
      </c>
      <c r="G48" s="18">
        <v>1.0</v>
      </c>
      <c r="H48" s="5"/>
    </row>
    <row r="49" ht="15.75" customHeight="1">
      <c r="A49" s="5" t="s">
        <v>294</v>
      </c>
      <c r="B49" s="5" t="s">
        <v>238</v>
      </c>
      <c r="C49" s="18">
        <v>9.0</v>
      </c>
      <c r="D49" s="18">
        <v>100.0</v>
      </c>
      <c r="E49" s="18">
        <v>1.0</v>
      </c>
      <c r="F49" s="5"/>
      <c r="G49" s="18">
        <v>1.0</v>
      </c>
      <c r="H49" s="5"/>
    </row>
    <row r="50" ht="15.75" customHeight="1">
      <c r="A50" s="5" t="s">
        <v>295</v>
      </c>
      <c r="B50" s="5" t="s">
        <v>238</v>
      </c>
      <c r="C50" s="18">
        <v>17.0</v>
      </c>
      <c r="D50" s="18">
        <v>100.0</v>
      </c>
      <c r="E50" s="18">
        <v>1.0</v>
      </c>
      <c r="F50" s="5"/>
      <c r="G50" s="18">
        <v>1.0</v>
      </c>
      <c r="H50" s="5"/>
    </row>
    <row r="51" ht="15.75" customHeight="1">
      <c r="A51" s="5" t="s">
        <v>296</v>
      </c>
      <c r="B51" s="5" t="s">
        <v>238</v>
      </c>
      <c r="C51" s="18">
        <v>12.0</v>
      </c>
      <c r="D51" s="18">
        <v>100.0</v>
      </c>
      <c r="E51" s="18">
        <v>1.0</v>
      </c>
      <c r="F51" s="5"/>
      <c r="G51" s="18">
        <v>1.0</v>
      </c>
      <c r="H51" s="5"/>
    </row>
    <row r="52" ht="15.75" customHeight="1">
      <c r="A52" s="5" t="s">
        <v>297</v>
      </c>
      <c r="B52" s="5" t="s">
        <v>238</v>
      </c>
      <c r="C52" s="18">
        <v>12.0</v>
      </c>
      <c r="D52" s="18">
        <v>100.0</v>
      </c>
      <c r="E52" s="18">
        <v>1.0</v>
      </c>
      <c r="F52" s="5"/>
      <c r="G52" s="18">
        <v>1.0</v>
      </c>
      <c r="H52" s="5"/>
    </row>
    <row r="53" ht="15.75" customHeight="1">
      <c r="A53" s="5" t="s">
        <v>298</v>
      </c>
      <c r="B53" s="5" t="s">
        <v>238</v>
      </c>
      <c r="C53" s="18">
        <v>11.0</v>
      </c>
      <c r="D53" s="18">
        <v>100.0</v>
      </c>
      <c r="E53" s="18">
        <v>1.0</v>
      </c>
      <c r="F53" s="5"/>
      <c r="G53" s="18">
        <v>1.0</v>
      </c>
      <c r="H53" s="5"/>
    </row>
    <row r="54" ht="15.75" customHeight="1">
      <c r="A54" s="5" t="s">
        <v>299</v>
      </c>
      <c r="B54" s="5" t="s">
        <v>236</v>
      </c>
      <c r="C54" s="18">
        <v>14.0</v>
      </c>
      <c r="D54" s="18">
        <v>100.0</v>
      </c>
      <c r="E54" s="18">
        <v>1.0</v>
      </c>
      <c r="F54" s="5"/>
      <c r="G54" s="18">
        <v>1.0</v>
      </c>
      <c r="H54" s="5"/>
    </row>
    <row r="55" ht="15.75" customHeight="1">
      <c r="A55" s="5" t="s">
        <v>300</v>
      </c>
      <c r="B55" s="5" t="s">
        <v>236</v>
      </c>
      <c r="C55" s="18">
        <v>13.0</v>
      </c>
      <c r="D55" s="18">
        <v>100.0</v>
      </c>
      <c r="E55" s="18">
        <v>1.0</v>
      </c>
      <c r="F55" s="5"/>
      <c r="G55" s="18">
        <v>1.0</v>
      </c>
      <c r="H55" s="5"/>
    </row>
    <row r="56" ht="15.75" customHeight="1">
      <c r="A56" s="5" t="s">
        <v>301</v>
      </c>
      <c r="B56" s="5" t="s">
        <v>236</v>
      </c>
      <c r="C56" s="18">
        <v>12.0</v>
      </c>
      <c r="D56" s="18">
        <v>100.0</v>
      </c>
      <c r="E56" s="18">
        <v>1.0</v>
      </c>
      <c r="F56" s="5"/>
      <c r="G56" s="18">
        <v>1.0</v>
      </c>
      <c r="H56" s="5"/>
    </row>
    <row r="57" ht="15.75" customHeight="1">
      <c r="A57" s="5" t="s">
        <v>302</v>
      </c>
      <c r="B57" s="5" t="s">
        <v>252</v>
      </c>
      <c r="C57" s="18">
        <v>14.0</v>
      </c>
      <c r="D57" s="18">
        <v>100.0</v>
      </c>
      <c r="E57" s="18">
        <v>1.0</v>
      </c>
      <c r="F57" s="5"/>
      <c r="G57" s="18">
        <v>1.0</v>
      </c>
      <c r="H57" s="5"/>
    </row>
    <row r="58" ht="15.75" customHeight="1">
      <c r="A58" s="5" t="s">
        <v>303</v>
      </c>
      <c r="B58" s="5" t="s">
        <v>252</v>
      </c>
      <c r="C58" s="18">
        <v>12.0</v>
      </c>
      <c r="D58" s="18">
        <v>100.0</v>
      </c>
      <c r="E58" s="18">
        <v>1.0</v>
      </c>
      <c r="F58" s="5"/>
      <c r="G58" s="18">
        <v>1.0</v>
      </c>
      <c r="H58" s="5"/>
    </row>
    <row r="59" ht="15.75" customHeight="1">
      <c r="A59" s="5" t="s">
        <v>304</v>
      </c>
      <c r="B59" s="5" t="s">
        <v>252</v>
      </c>
      <c r="C59" s="18">
        <v>13.0</v>
      </c>
      <c r="D59" s="18">
        <v>100.0</v>
      </c>
      <c r="E59" s="18">
        <v>1.0</v>
      </c>
      <c r="F59" s="5"/>
      <c r="G59" s="18">
        <v>1.0</v>
      </c>
      <c r="H59" s="5"/>
    </row>
    <row r="60" ht="15.75" customHeight="1">
      <c r="A60" s="5" t="s">
        <v>305</v>
      </c>
      <c r="B60" s="5" t="s">
        <v>252</v>
      </c>
      <c r="C60" s="18">
        <v>13.0</v>
      </c>
      <c r="D60" s="18">
        <v>100.0</v>
      </c>
      <c r="E60" s="18">
        <v>1.0</v>
      </c>
      <c r="F60" s="5"/>
      <c r="G60" s="18">
        <v>1.0</v>
      </c>
      <c r="H60" s="5"/>
    </row>
    <row r="61" ht="15.75" customHeight="1">
      <c r="A61" s="5" t="s">
        <v>306</v>
      </c>
      <c r="B61" s="5" t="s">
        <v>252</v>
      </c>
      <c r="C61" s="18">
        <v>15.0</v>
      </c>
      <c r="D61" s="18">
        <v>100.0</v>
      </c>
      <c r="E61" s="18">
        <v>1.0</v>
      </c>
      <c r="F61" s="5"/>
      <c r="G61" s="18">
        <v>1.0</v>
      </c>
      <c r="H61" s="5"/>
    </row>
    <row r="62" ht="15.75" customHeight="1">
      <c r="A62" s="5" t="s">
        <v>307</v>
      </c>
      <c r="B62" s="5" t="s">
        <v>252</v>
      </c>
      <c r="C62" s="18">
        <v>12.0</v>
      </c>
      <c r="D62" s="18">
        <v>100.0</v>
      </c>
      <c r="E62" s="18">
        <v>1.0</v>
      </c>
      <c r="F62" s="5"/>
      <c r="G62" s="18">
        <v>1.0</v>
      </c>
      <c r="H62" s="5"/>
    </row>
    <row r="63" ht="15.75" customHeight="1">
      <c r="A63" s="5" t="s">
        <v>308</v>
      </c>
      <c r="B63" s="5" t="s">
        <v>236</v>
      </c>
      <c r="C63" s="18">
        <v>13.0</v>
      </c>
      <c r="D63" s="18">
        <v>100.0</v>
      </c>
      <c r="E63" s="18">
        <v>1.0</v>
      </c>
      <c r="F63" s="5"/>
      <c r="G63" s="18">
        <v>1.0</v>
      </c>
      <c r="H63" s="5"/>
    </row>
    <row r="64" ht="15.75" customHeight="1">
      <c r="A64" s="5" t="s">
        <v>309</v>
      </c>
      <c r="B64" s="5" t="s">
        <v>252</v>
      </c>
      <c r="C64" s="18">
        <v>11.0</v>
      </c>
      <c r="D64" s="18">
        <v>100.0</v>
      </c>
      <c r="E64" s="18">
        <v>1.0</v>
      </c>
      <c r="F64" s="5"/>
      <c r="G64" s="18">
        <v>1.0</v>
      </c>
      <c r="H64" s="5"/>
    </row>
    <row r="65" ht="15.75" customHeight="1">
      <c r="A65" s="5" t="s">
        <v>310</v>
      </c>
      <c r="B65" s="5" t="s">
        <v>252</v>
      </c>
      <c r="C65" s="18">
        <v>11.0</v>
      </c>
      <c r="D65" s="18">
        <v>100.0</v>
      </c>
      <c r="E65" s="18">
        <v>1.0</v>
      </c>
      <c r="F65" s="5"/>
      <c r="G65" s="18">
        <v>1.0</v>
      </c>
      <c r="H65" s="5"/>
    </row>
    <row r="66" ht="15.75" customHeight="1">
      <c r="A66" s="5" t="s">
        <v>311</v>
      </c>
      <c r="B66" s="5" t="s">
        <v>252</v>
      </c>
      <c r="C66" s="18">
        <v>13.0</v>
      </c>
      <c r="D66" s="18">
        <v>100.0</v>
      </c>
      <c r="E66" s="18">
        <v>1.0</v>
      </c>
      <c r="F66" s="5"/>
      <c r="G66" s="18">
        <v>1.0</v>
      </c>
      <c r="H66" s="5"/>
    </row>
    <row r="67" ht="15.75" customHeight="1">
      <c r="A67" s="5" t="s">
        <v>312</v>
      </c>
      <c r="B67" s="5" t="s">
        <v>252</v>
      </c>
      <c r="C67" s="18">
        <v>14.0</v>
      </c>
      <c r="D67" s="18">
        <v>100.0</v>
      </c>
      <c r="E67" s="18">
        <v>1.0</v>
      </c>
      <c r="F67" s="5"/>
      <c r="G67" s="18">
        <v>1.0</v>
      </c>
      <c r="H67" s="5"/>
    </row>
    <row r="68" ht="15.75" customHeight="1">
      <c r="A68" s="5" t="s">
        <v>313</v>
      </c>
      <c r="B68" s="5" t="s">
        <v>236</v>
      </c>
      <c r="C68" s="18">
        <v>14.0</v>
      </c>
      <c r="D68" s="18">
        <v>100.0</v>
      </c>
      <c r="E68" s="18">
        <v>1.0</v>
      </c>
      <c r="F68" s="5"/>
      <c r="G68" s="18">
        <v>1.0</v>
      </c>
      <c r="H68" s="5"/>
    </row>
    <row r="69" ht="15.75" customHeight="1">
      <c r="A69" s="5" t="s">
        <v>314</v>
      </c>
      <c r="B69" s="5" t="s">
        <v>236</v>
      </c>
      <c r="C69" s="18">
        <v>14.0</v>
      </c>
      <c r="D69" s="18">
        <v>100.0</v>
      </c>
      <c r="E69" s="18">
        <v>1.0</v>
      </c>
      <c r="F69" s="5"/>
      <c r="G69" s="18">
        <v>1.0</v>
      </c>
      <c r="H69" s="5"/>
    </row>
    <row r="70" ht="15.75" customHeight="1">
      <c r="A70" s="5" t="s">
        <v>315</v>
      </c>
      <c r="B70" s="5" t="s">
        <v>236</v>
      </c>
      <c r="C70" s="18">
        <v>13.0</v>
      </c>
      <c r="D70" s="18">
        <v>100.0</v>
      </c>
      <c r="E70" s="18">
        <v>1.0</v>
      </c>
      <c r="F70" s="5"/>
      <c r="G70" s="18">
        <v>1.0</v>
      </c>
      <c r="H70" s="5"/>
    </row>
    <row r="71" ht="15.75" customHeight="1">
      <c r="A71" s="5" t="s">
        <v>316</v>
      </c>
      <c r="B71" s="5" t="s">
        <v>238</v>
      </c>
      <c r="C71" s="18">
        <v>16.0</v>
      </c>
      <c r="D71" s="18">
        <v>100.0</v>
      </c>
      <c r="E71" s="18">
        <v>1.0</v>
      </c>
      <c r="F71" s="5"/>
      <c r="G71" s="18">
        <v>1.0</v>
      </c>
      <c r="H71" s="5"/>
    </row>
    <row r="72" ht="15.75" customHeight="1">
      <c r="A72" s="5" t="s">
        <v>317</v>
      </c>
      <c r="B72" s="5" t="s">
        <v>236</v>
      </c>
      <c r="C72" s="18">
        <v>1.0</v>
      </c>
      <c r="D72" s="18">
        <v>100.0</v>
      </c>
      <c r="E72" s="18">
        <v>1.0</v>
      </c>
      <c r="F72" s="5"/>
      <c r="G72" s="18">
        <v>1.0</v>
      </c>
      <c r="H72" s="5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34.0"/>
    <col customWidth="1" min="2" max="19" width="9.0"/>
    <col customWidth="1" min="20" max="26" width="8.71"/>
  </cols>
  <sheetData>
    <row r="1">
      <c r="A1" s="19" t="s">
        <v>318</v>
      </c>
      <c r="B1" s="19" t="s">
        <v>135</v>
      </c>
      <c r="C1" s="19" t="s">
        <v>319</v>
      </c>
      <c r="D1" s="19" t="s">
        <v>320</v>
      </c>
      <c r="E1" s="19" t="s">
        <v>321</v>
      </c>
      <c r="F1" s="19" t="s">
        <v>322</v>
      </c>
      <c r="G1" s="19" t="s">
        <v>323</v>
      </c>
      <c r="H1" s="19" t="s">
        <v>324</v>
      </c>
      <c r="I1" s="19" t="s">
        <v>325</v>
      </c>
      <c r="J1" s="19" t="s">
        <v>326</v>
      </c>
      <c r="K1" s="19" t="s">
        <v>327</v>
      </c>
      <c r="L1" s="19" t="s">
        <v>328</v>
      </c>
      <c r="M1" s="19" t="s">
        <v>329</v>
      </c>
      <c r="N1" s="19" t="s">
        <v>330</v>
      </c>
      <c r="O1" s="19" t="s">
        <v>331</v>
      </c>
      <c r="P1" s="19" t="s">
        <v>332</v>
      </c>
      <c r="Q1" s="19" t="s">
        <v>333</v>
      </c>
      <c r="R1" s="19" t="s">
        <v>334</v>
      </c>
      <c r="S1" s="19" t="s">
        <v>335</v>
      </c>
    </row>
    <row r="2">
      <c r="A2" s="20" t="s">
        <v>336</v>
      </c>
      <c r="B2" s="21">
        <f>Scenario_Factor_Premia_pct!B4</f>
        <v>4.5</v>
      </c>
      <c r="C2" s="21">
        <f>Scenario_Factor_Premia_pct!C4</f>
        <v>2.5</v>
      </c>
      <c r="D2" s="21">
        <f>Scenario_Factor_Premia_pct!D4</f>
        <v>-1</v>
      </c>
      <c r="E2" s="21">
        <f>Scenario_Factor_Premia_pct!E4</f>
        <v>3</v>
      </c>
      <c r="F2" s="21">
        <f>Scenario_Factor_Premia_pct!F4</f>
        <v>2.5</v>
      </c>
      <c r="G2" s="21">
        <f>Scenario_Factor_Premia_pct!G4</f>
        <v>2</v>
      </c>
      <c r="H2" s="21">
        <f>Scenario_Factor_Premia_pct!H4</f>
        <v>0</v>
      </c>
      <c r="I2" s="22">
        <f>Betas_Shrunk_FULL!F45</f>
        <v>0.6034</v>
      </c>
      <c r="J2" s="22">
        <f>Betas_Shrunk_FULL!G45</f>
        <v>0.1311</v>
      </c>
      <c r="K2" s="22">
        <f>Betas_Shrunk_FULL!H45</f>
        <v>-0.1485</v>
      </c>
      <c r="L2" s="22">
        <f>Betas_Shrunk_FULL!I45</f>
        <v>-0.0718</v>
      </c>
      <c r="M2" s="22">
        <f>Betas_Shrunk_FULL!J45</f>
        <v>0.0651</v>
      </c>
      <c r="N2" s="22">
        <f>Betas_Shrunk_FULL!K45</f>
        <v>-0.0942</v>
      </c>
      <c r="O2" s="22">
        <f>Betas_Shrunk_FULL!E45</f>
        <v>0.4974</v>
      </c>
      <c r="P2" s="23">
        <f>Scenario_Deltas_FULL!D45</f>
        <v>0</v>
      </c>
      <c r="Q2" s="24">
        <f t="shared" ref="Q2:Q5" si="1">B2+SUMPRODUCT(C2:H2,I2:N2)+12*O2+P2</f>
        <v>11.3514</v>
      </c>
      <c r="R2" s="24">
        <f>CAGR_Matrix_FULL!D45</f>
        <v>11.35</v>
      </c>
      <c r="S2" s="25">
        <f t="shared" ref="S2:S5" si="2">Q2-R2</f>
        <v>0.0014</v>
      </c>
    </row>
    <row r="3">
      <c r="A3" s="20" t="s">
        <v>337</v>
      </c>
      <c r="B3" s="21">
        <f>Scenario_Factor_Premia_pct!B6</f>
        <v>2.5</v>
      </c>
      <c r="C3" s="21">
        <f>Scenario_Factor_Premia_pct!C6</f>
        <v>-1.5</v>
      </c>
      <c r="D3" s="21">
        <f>Scenario_Factor_Premia_pct!D6</f>
        <v>-3</v>
      </c>
      <c r="E3" s="21">
        <f>Scenario_Factor_Premia_pct!E6</f>
        <v>-1.5</v>
      </c>
      <c r="F3" s="21">
        <f>Scenario_Factor_Premia_pct!F6</f>
        <v>3</v>
      </c>
      <c r="G3" s="21">
        <f>Scenario_Factor_Premia_pct!G6</f>
        <v>3</v>
      </c>
      <c r="H3" s="21">
        <f>Scenario_Factor_Premia_pct!H6</f>
        <v>-1</v>
      </c>
      <c r="I3" s="22">
        <f>Betas_Shrunk_FULL!F49</f>
        <v>0.562042</v>
      </c>
      <c r="J3" s="22">
        <f>Betas_Shrunk_FULL!G49</f>
        <v>0.135706</v>
      </c>
      <c r="K3" s="22">
        <f>Betas_Shrunk_FULL!H49</f>
        <v>-0.337872</v>
      </c>
      <c r="L3" s="22">
        <f>Betas_Shrunk_FULL!I49</f>
        <v>-0.256122</v>
      </c>
      <c r="M3" s="22">
        <f>Betas_Shrunk_FULL!J49</f>
        <v>0.084283</v>
      </c>
      <c r="N3" s="22">
        <f>Betas_Shrunk_FULL!K49</f>
        <v>0.607364</v>
      </c>
      <c r="O3" s="22">
        <f>Betas_Shrunk_FULL!E49</f>
        <v>1.684222</v>
      </c>
      <c r="P3" s="23">
        <f>Scenario_Deltas_FULL!F49</f>
        <v>0.25</v>
      </c>
      <c r="Q3" s="24">
        <f t="shared" si="1"/>
        <v>21.09441</v>
      </c>
      <c r="R3" s="24">
        <f>CAGR_Matrix_FULL!F49</f>
        <v>21.0944</v>
      </c>
      <c r="S3" s="25">
        <f t="shared" si="2"/>
        <v>0.00001</v>
      </c>
    </row>
    <row r="4">
      <c r="A4" s="20" t="s">
        <v>338</v>
      </c>
      <c r="B4" s="21">
        <f>Scenario_Factor_Premia_pct!B2</f>
        <v>3</v>
      </c>
      <c r="C4" s="21">
        <f>Scenario_Factor_Premia_pct!C2</f>
        <v>6</v>
      </c>
      <c r="D4" s="21">
        <f>Scenario_Factor_Premia_pct!D2</f>
        <v>0.8</v>
      </c>
      <c r="E4" s="21">
        <f>Scenario_Factor_Premia_pct!E2</f>
        <v>2</v>
      </c>
      <c r="F4" s="21">
        <f>Scenario_Factor_Premia_pct!F2</f>
        <v>1.8</v>
      </c>
      <c r="G4" s="21">
        <f>Scenario_Factor_Premia_pct!G2</f>
        <v>0.8</v>
      </c>
      <c r="H4" s="21">
        <f>Scenario_Factor_Premia_pct!H2</f>
        <v>2</v>
      </c>
      <c r="I4" s="22">
        <f>Betas_Shrunk_FULL!F12</f>
        <v>0.6814</v>
      </c>
      <c r="J4" s="22">
        <f>Betas_Shrunk_FULL!G12</f>
        <v>-0.0444</v>
      </c>
      <c r="K4" s="22">
        <f>Betas_Shrunk_FULL!H12</f>
        <v>0.02</v>
      </c>
      <c r="L4" s="22">
        <f>Betas_Shrunk_FULL!I12</f>
        <v>-0.0507</v>
      </c>
      <c r="M4" s="22">
        <f>Betas_Shrunk_FULL!J12</f>
        <v>0.0722</v>
      </c>
      <c r="N4" s="22">
        <f>Betas_Shrunk_FULL!K12</f>
        <v>-0.2108</v>
      </c>
      <c r="O4" s="22">
        <f>Betas_Shrunk_FULL!E12</f>
        <v>0.0888</v>
      </c>
      <c r="P4" s="23">
        <f>Scenario_Deltas_FULL!B12</f>
        <v>0</v>
      </c>
      <c r="Q4" s="24">
        <f t="shared" si="1"/>
        <v>7.70338</v>
      </c>
      <c r="R4" s="24">
        <f>CAGR_Matrix_FULL!B12</f>
        <v>7.7</v>
      </c>
      <c r="S4" s="25">
        <f t="shared" si="2"/>
        <v>0.00338</v>
      </c>
    </row>
    <row r="5">
      <c r="A5" s="20" t="s">
        <v>339</v>
      </c>
      <c r="B5" s="21">
        <f>Scenario_Factor_Premia_pct!B2</f>
        <v>3</v>
      </c>
      <c r="C5" s="21">
        <f>Scenario_Factor_Premia_pct!C2</f>
        <v>6</v>
      </c>
      <c r="D5" s="21">
        <f>Scenario_Factor_Premia_pct!D2</f>
        <v>0.8</v>
      </c>
      <c r="E5" s="21">
        <f>Scenario_Factor_Premia_pct!E2</f>
        <v>2</v>
      </c>
      <c r="F5" s="21">
        <f>Scenario_Factor_Premia_pct!F2</f>
        <v>1.8</v>
      </c>
      <c r="G5" s="21">
        <f>Scenario_Factor_Premia_pct!G2</f>
        <v>0.8</v>
      </c>
      <c r="H5" s="21">
        <f>Scenario_Factor_Premia_pct!H2</f>
        <v>2</v>
      </c>
      <c r="I5" s="22">
        <f>Betas_Shrunk_FULL!F56</f>
        <v>-0.020322</v>
      </c>
      <c r="J5" s="22">
        <f>Betas_Shrunk_FULL!G56</f>
        <v>-0.030079</v>
      </c>
      <c r="K5" s="22">
        <f>Betas_Shrunk_FULL!H56</f>
        <v>-0.096099</v>
      </c>
      <c r="L5" s="22">
        <f>Betas_Shrunk_FULL!I56</f>
        <v>0.096169</v>
      </c>
      <c r="M5" s="22">
        <f>Betas_Shrunk_FULL!J56</f>
        <v>-0.011631</v>
      </c>
      <c r="N5" s="22">
        <f>Betas_Shrunk_FULL!K56</f>
        <v>-0.010034</v>
      </c>
      <c r="O5" s="22">
        <f>Betas_Shrunk_FULL!E56</f>
        <v>0.140493</v>
      </c>
      <c r="P5" s="23">
        <f>Scenario_Deltas_FULL!B56</f>
        <v>0</v>
      </c>
      <c r="Q5" s="24">
        <f t="shared" si="1"/>
        <v>4.4914542</v>
      </c>
      <c r="R5" s="24">
        <f>CAGR_Matrix_FULL!B56</f>
        <v>4.4915</v>
      </c>
      <c r="S5" s="25">
        <f t="shared" si="2"/>
        <v>-0.0000458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